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EE373881-532E-4E65-B6AF-94608AA4CB64}" xr6:coauthVersionLast="47" xr6:coauthVersionMax="47" xr10:uidLastSave="{00000000-0000-0000-0000-000000000000}"/>
  <bookViews>
    <workbookView xWindow="-20610" yWindow="-1350" windowWidth="20730" windowHeight="117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BASE" sheetId="5" r:id="rId4"/>
    <sheet name="CÁLCULO" sheetId="7" r:id="rId5"/>
    <sheet name="D̳ashboard" sheetId="4" r:id="rId6"/>
  </sheets>
  <definedNames>
    <definedName name="SegmentaçãodeDados_Subscription_Type">#N/A</definedName>
    <definedName name="SegmentaçãodeDados_Subscription_Type1">#N/A</definedName>
  </definedNames>
  <calcPr calcId="191028"/>
  <pivotCaches>
    <pivotCache cacheId="5931" r:id="rId7"/>
    <pivotCache cacheId="5932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<sst xmlns="http://schemas.openxmlformats.org/spreadsheetml/2006/main" count="4020" uniqueCount="328">
  <si>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</si>
  <si>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</si>
  <si>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</si>
  <si>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</si>
  <si>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</si>
  <si>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</si>
  <si>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</si>
  <si>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</si>
  <si>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</si>
  <si>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</si>
  <si>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</si>
  <si>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</si>
  <si>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</si>
  <si>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</si>
  <si>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</si>
  <si>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</si>
  <si>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</si>
  <si>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</si>
  <si>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</si>
  <si>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</si>
  <si>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</si>
  <si>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</si>
  <si>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</si>
  <si>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</si>
  <si>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</si>
  <si>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</si>
  <si>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</si>
  <si>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</si>
  <si>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</si>
  <si>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</si>
  <si>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</si>
  <si>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</si>
  <si>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</si>
  <si>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</si>
  <si>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</si>
  <si>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</si>
  <si>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</si>
  <si>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</si>
  <si>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</si>
  <si>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</si>
  <si>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</si>
  <si>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</si>
  <si>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</si>
  <si>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</si>
  <si>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</si>
  <si>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</si>
  <si>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</si>
  <si>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</si>
  <si>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</si>
  <si>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</si>
  <si>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</si>
  <si>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</si>
  <si>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</si>
  <si>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</si>
  <si>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</si>
  <si>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</si>
  <si>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</si>
  <si>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</si>
  <si>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</si>
  <si>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</si>
  <si>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</si>
  <si>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</si>
  <si>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</si>
  <si>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</si>
  <si>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</si>
  <si>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</si>
  <si>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</si>
  <si>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</si>
  <si>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</si>
  <si>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</si>
  <si>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</si>
  <si>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</si>
  <si>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</si>
  <si>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</si>
  <si>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</si>
  <si>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</si>
  <si>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</si>
  <si>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</si>
  <si>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</si>
  <si>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</si>
  <si>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</si>
  <si>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</si>
  <si>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</si>
  <si>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</si>
  <si>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</si>
  <si>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</si>
  <si>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</si>
  <si>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</si>
  <si>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</si>
  <si>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</si>
  <si>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</si>
  <si>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</si>
  <si>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</si>
  <si>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</si>
  <si>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</si>
  <si>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</si>
  <si>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</si>
  <si>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</si>
  <si>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</si>
  <si>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</si>
  <si>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</si>
  <si>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</si>
  <si>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</si>
  <si>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</si>
  <si>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</si>
  <si>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</si>
  <si>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</si>
  <si>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</si>
  <si>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</si>
  <si>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</si>
  <si>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</si>
  <si>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</si>
  <si>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</si>
  <si>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</si>
  <si>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</si>
  <si>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</si>
  <si>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</si>
  <si>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</si>
  <si>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</si>
  <si>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</si>
  <si>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</si>
  <si>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</si>
  <si>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</si>
  <si>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</si>
  <si>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</si>
  <si>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</si>
  <si>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</si>
  <si>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</si>
  <si>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</si>
  <si>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</si>
  <si>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</si>
  <si>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</si>
  <si>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</si>
  <si>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</si>
  <si>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</si>
  <si>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</si>
  <si>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</si>
  <si>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</si>
  <si>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</si>
  <si>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</si>
  <si>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</si>
  <si>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</si>
  <si>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</si>
  <si>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</si>
  <si>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</si>
  <si>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</si>
  <si>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</si>
  <si>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</si>
  <si>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</si>
  <si>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</si>
  <si>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</si>
  <si>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</si>
  <si>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</si>
  <si>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</si>
  <si>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</si>
  <si>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</si>
  <si>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</si>
  <si>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</si>
  <si>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</si>
  <si>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</si>
  <si>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</si>
  <si>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</si>
  <si>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</si>
  <si>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</si>
  <si>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</si>
  <si>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</si>
  <si>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</si>
  <si>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</si>
  <si>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</si>
  <si>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</si>
  <si>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</si>
  <si>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</si>
  <si>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</si>
  <si>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</si>
  <si>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</si>
  <si>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</si>
  <si>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</si>
  <si>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</si>
  <si>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</si>
  <si>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</si>
  <si>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</si>
  <si>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</si>
  <si>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</si>
  <si>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</si>
  <si>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</si>
  <si>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</si>
  <si>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</si>
  <si>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</si>
  <si>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</si>
  <si>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</si>
  <si>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</si>
  <si>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</si>
  <si>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</si>
  <si>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</si>
  <si>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</si>
  <si>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</si>
  <si>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</si>
  <si>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</si>
  <si>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</si>
  <si>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</si>
  <si>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</si>
  <si>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</si>
  <si>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</si>
  <si>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</si>
  <si>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</si>
  <si>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</si>
  <si>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</si>
  <si>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</si>
  <si>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</si>
  <si>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</si>
  <si>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</si>
  <si>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</si>
  <si>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</si>
  <si>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</si>
  <si>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</si>
  <si>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</si>
  <si>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</si>
  <si>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</si>
  <si>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</si>
  <si>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</si>
  <si>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</si>
  <si>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</si>
  <si>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</si>
  <si>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</si>
  <si>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</si>
  <si>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</si>
  <si>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</si>
  <si>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</si>
  <si>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</si>
  <si>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</si>
  <si>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</si>
  <si>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</si>
  <si>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</si>
  <si>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</si>
  <si>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</si>
  <si>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</si>
  <si>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</si>
  <si>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</si>
  <si>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</si>
  <si>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</si>
  <si>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</si>
  <si>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</si>
  <si>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</si>
  <si>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</si>
  <si>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</si>
  <si>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</si>
  <si>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</si>
  <si>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</si>
  <si>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</si>
  <si>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</si>
  <si>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</si>
  <si>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</si>
  <si>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</si>
  <si>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</si>
  <si>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</si>
  <si>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</si>
  <si>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</si>
  <si>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</si>
  <si>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</si>
  <si>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</si>
  <si>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</si>
  <si>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</si>
  <si>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</si>
  <si>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</si>
  <si>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</si>
  <si>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</si>
  <si>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</si>
  <si>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</si>
  <si>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</si>
  <si>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</si>
  <si>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</si>
  <si>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</si>
  <si>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</si>
  <si>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</si>
  <si>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</si>
  <si>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</si>
  <si>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</si>
  <si>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</si>
  <si>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</si>
  <si>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</si>
  <si>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</si>
  <si>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</si>
  <si>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</si>
  <si>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</si>
  <si>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</si>
  <si>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</si>
  <si>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</si>
  <si>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</si>
  <si>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</si>
  <si>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</si>
  <si>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</si>
  <si>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</si>
  <si>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</si>
  <si>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</si>
  <si>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</si>
  <si>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</si>
  <si>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</si>
  <si>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</si>
  <si>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</si>
  <si>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</si>
  <si>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</si>
  <si>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</si>
  <si>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</si>
  <si>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</si>
  <si>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</si>
  <si>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</si>
  <si>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</si>
  <si>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</si>
  <si>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</si>
  <si>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</si>
  <si>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</si>
  <si>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</si>
  <si>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</si>
  <si>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</si>
  <si>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</si>
  <si>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</si>
  <si>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</si>
  <si>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</si>
  <si>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</si>
  <si>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</si>
  <si>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</si>
  <si>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</si>
  <si>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</si>
  <si>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 xml:space="preserve">Pergunta de negócio  - Qual faturamento Total de vendas de planos atuais (contendo todas as assinaturas agregadas)				</t>
  </si>
  <si>
    <t>Pergunta de negócio  - Qual faturamento Total de vendas de planos anuais separado por auto renovação não é por auto renovação</t>
  </si>
  <si>
    <t>Pergunta negócio 3 - total de vendas de assinaturas do EA Play</t>
  </si>
  <si>
    <t>Soma de EA Play Season PassPrice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</si>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</sst>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4" fillId="8" borderId="0" xfId="3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30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29"/>
      <tableStyleElement type="headerRow" dxfId="28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Vendas Xbox 2.xlsx]CÁLCULO!Tabela Dinâmica1</c:name>
    <c:fmtId val="0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CÁLCULO!$B$6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strRef>
              <c:f>CÁLCULO!$A$7:$A$9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CÁLCULO!$B$7:$B$9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F4-46A0-BE58-085299BD8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702791"/>
        <c:axId val="91704839"/>
      </c:barChart>
      <c:catAx>
        <c:axId val="91702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04839"/>
        <c:crosses val="autoZero"/>
        <c:auto val="1"/>
        <c:lblAlgn val="ctr"/>
        <c:lblOffset val="100"/>
        <c:noMultiLvlLbl val="0"/>
      </c:catAx>
      <c:valAx>
        <c:axId val="91704839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91702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Vendas Xbox 2.xlsx]C̳álculos!tbl_annual_total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2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5</xdr:row>
      <xdr:rowOff>304800</xdr:rowOff>
    </xdr:to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5236D5-3686-49C6-A2F9-6120B755233D}"/>
            </a:ext>
          </a:extLst>
        </xdr:cNvPr>
        <xdr:cNvSpPr>
          <a:spLocks noChangeAspect="1" noChangeArrowheads="1"/>
        </xdr:cNvSpPr>
      </xdr:nvSpPr>
      <xdr:spPr bwMode="auto">
        <a:xfrm>
          <a:off x="13820775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4</xdr:row>
      <xdr:rowOff>171450</xdr:rowOff>
    </xdr:from>
    <xdr:to>
      <xdr:col>3</xdr:col>
      <xdr:colOff>314325</xdr:colOff>
      <xdr:row>18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ubscription Type 1">
              <a:extLst>
                <a:ext uri="{FF2B5EF4-FFF2-40B4-BE49-F238E27FC236}">
                  <a16:creationId xmlns:a16="http://schemas.microsoft.com/office/drawing/2014/main" id="{649FA7E1-7CFF-6868-E568-3B002C8904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52800" y="7620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3</xdr:col>
      <xdr:colOff>1047750</xdr:colOff>
      <xdr:row>4</xdr:row>
      <xdr:rowOff>47625</xdr:rowOff>
    </xdr:from>
    <xdr:to>
      <xdr:col>9</xdr:col>
      <xdr:colOff>133350</xdr:colOff>
      <xdr:row>18</xdr:row>
      <xdr:rowOff>123825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3F6B053-1326-FB27-6280-E437ABADEA0D}"/>
            </a:ext>
            <a:ext uri="{147F2762-F138-4A5C-976F-8EAC2B608ADB}">
              <a16:predDERef xmlns:a16="http://schemas.microsoft.com/office/drawing/2014/main" pred="{649FA7E1-7CFF-6868-E568-3B002C8904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61791</xdr:colOff>
      <xdr:row>0</xdr:row>
      <xdr:rowOff>-1361</xdr:rowOff>
    </xdr:from>
    <xdr:to>
      <xdr:col>2</xdr:col>
      <xdr:colOff>498821</xdr:colOff>
      <xdr:row>3</xdr:row>
      <xdr:rowOff>1971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890591" y="-1361"/>
          <a:ext cx="675155" cy="7939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  <a:ext uri="{147F2762-F138-4A5C-976F-8EAC2B608ADB}">
                  <a16:predDERef xmlns:a16="http://schemas.microsoft.com/office/drawing/2014/main" pred="{D630EA10-DDFB-4174-AD6F-CBB669F75E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242887</xdr:colOff>
      <xdr:row>6</xdr:row>
      <xdr:rowOff>90488</xdr:rowOff>
    </xdr:from>
    <xdr:to>
      <xdr:col>10</xdr:col>
      <xdr:colOff>38100</xdr:colOff>
      <xdr:row>15</xdr:row>
      <xdr:rowOff>154782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  <a:ext uri="{147F2762-F138-4A5C-976F-8EAC2B608ADB}">
              <a16:predDERef xmlns:a16="http://schemas.microsoft.com/office/drawing/2014/main" pred="{F85F9B95-DC6C-4715-AA04-6997CB6877D4}"/>
            </a:ext>
          </a:extLst>
        </xdr:cNvPr>
        <xdr:cNvGrpSpPr/>
      </xdr:nvGrpSpPr>
      <xdr:grpSpPr>
        <a:xfrm>
          <a:off x="2309812" y="1214438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  <a:ext uri="{147F2762-F138-4A5C-976F-8EAC2B608ADB}">
              <a16:predDERef xmlns:a16="http://schemas.microsoft.com/office/drawing/2014/main" pred="{A41F36A7-AB9C-196A-291F-D90799A3B69C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1.841778703703" createdVersion="8" refreshedVersion="8" minRefreshableVersion="3" recordCount="295" xr:uid="{85F2E49C-C8E7-444E-94F2-E54BAE64ED88}">
  <cacheSource type="worksheet">
    <worksheetSource name="Tabela13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6399581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x v="0"/>
    <s v="Yes"/>
    <n v="20"/>
    <n v="5"/>
    <n v="60"/>
  </r>
  <r>
    <n v="3232"/>
    <s v="Maria Oliveira"/>
    <x v="1"/>
    <d v="2024-01-15T00:00:00"/>
    <x v="1"/>
    <n v="5"/>
    <x v="1"/>
    <s v="No"/>
    <x v="1"/>
    <s v="No"/>
    <n v="0"/>
    <n v="0"/>
    <n v="5"/>
  </r>
  <r>
    <n v="3233"/>
    <s v="Lucas Fernandes"/>
    <x v="2"/>
    <d v="2024-02-10T00:00:00"/>
    <x v="0"/>
    <n v="10"/>
    <x v="2"/>
    <s v="No"/>
    <x v="1"/>
    <s v="Yes"/>
    <n v="20"/>
    <n v="10"/>
    <n v="20"/>
  </r>
  <r>
    <n v="3234"/>
    <s v="Ana Souza"/>
    <x v="0"/>
    <d v="2024-02-20T00:00:00"/>
    <x v="1"/>
    <n v="15"/>
    <x v="0"/>
    <s v="Yes"/>
    <x v="0"/>
    <s v="Yes"/>
    <n v="20"/>
    <n v="3"/>
    <n v="62"/>
  </r>
  <r>
    <n v="3235"/>
    <s v="Pedro Gonçalves"/>
    <x v="1"/>
    <d v="2024-03-05T00:00:00"/>
    <x v="0"/>
    <n v="5"/>
    <x v="0"/>
    <s v="No"/>
    <x v="1"/>
    <s v="No"/>
    <n v="0"/>
    <n v="1"/>
    <n v="4"/>
  </r>
  <r>
    <n v="3236"/>
    <s v="Felipe Costa"/>
    <x v="2"/>
    <d v="2024-03-02T00:00:00"/>
    <x v="1"/>
    <n v="10"/>
    <x v="0"/>
    <s v="No"/>
    <x v="1"/>
    <s v="Yes"/>
    <n v="20"/>
    <n v="2"/>
    <n v="28"/>
  </r>
  <r>
    <n v="3237"/>
    <s v="Camila Ribeiro"/>
    <x v="0"/>
    <d v="2024-03-03T00:00:00"/>
    <x v="0"/>
    <n v="15"/>
    <x v="2"/>
    <s v="Yes"/>
    <x v="0"/>
    <s v="Yes"/>
    <n v="20"/>
    <n v="10"/>
    <n v="55"/>
  </r>
  <r>
    <n v="3238"/>
    <s v="André Mendes"/>
    <x v="1"/>
    <d v="2024-03-04T00:00:00"/>
    <x v="0"/>
    <n v="5"/>
    <x v="1"/>
    <s v="No"/>
    <x v="1"/>
    <s v="No"/>
    <n v="0"/>
    <n v="0"/>
    <n v="5"/>
  </r>
  <r>
    <n v="3239"/>
    <s v="Sofia Almeida"/>
    <x v="0"/>
    <d v="2024-03-05T00:00:00"/>
    <x v="1"/>
    <n v="15"/>
    <x v="0"/>
    <s v="Yes"/>
    <x v="0"/>
    <s v="Yes"/>
    <n v="20"/>
    <n v="5"/>
    <n v="60"/>
  </r>
  <r>
    <n v="3240"/>
    <s v="Bruno Martins"/>
    <x v="2"/>
    <d v="2024-03-06T00:00:00"/>
    <x v="0"/>
    <n v="10"/>
    <x v="2"/>
    <s v="No"/>
    <x v="1"/>
    <s v="Yes"/>
    <n v="20"/>
    <n v="15"/>
    <n v="15"/>
  </r>
  <r>
    <n v="3241"/>
    <s v="Rita Castro"/>
    <x v="1"/>
    <d v="2024-03-07T00:00:00"/>
    <x v="1"/>
    <n v="5"/>
    <x v="0"/>
    <s v="No"/>
    <x v="1"/>
    <s v="No"/>
    <n v="0"/>
    <n v="1"/>
    <n v="4"/>
  </r>
  <r>
    <n v="3242"/>
    <s v="Marco Túlio"/>
    <x v="0"/>
    <d v="2024-03-08T00:00:00"/>
    <x v="0"/>
    <n v="15"/>
    <x v="1"/>
    <s v="Yes"/>
    <x v="0"/>
    <s v="Yes"/>
    <n v="20"/>
    <n v="20"/>
    <n v="45"/>
  </r>
  <r>
    <n v="3243"/>
    <s v="Lívia Silveira"/>
    <x v="2"/>
    <d v="2024-03-09T00:00:00"/>
    <x v="1"/>
    <n v="10"/>
    <x v="0"/>
    <s v="No"/>
    <x v="1"/>
    <s v="Yes"/>
    <n v="20"/>
    <n v="10"/>
    <n v="20"/>
  </r>
  <r>
    <n v="3244"/>
    <s v="Diogo Sousa"/>
    <x v="1"/>
    <d v="2024-03-10T00:00:00"/>
    <x v="0"/>
    <n v="5"/>
    <x v="2"/>
    <s v="No"/>
    <x v="1"/>
    <s v="No"/>
    <n v="0"/>
    <n v="0"/>
    <n v="5"/>
  </r>
  <r>
    <n v="3245"/>
    <s v="Fernanda Lima"/>
    <x v="0"/>
    <d v="2024-03-11T00:00:00"/>
    <x v="1"/>
    <n v="15"/>
    <x v="0"/>
    <s v="Yes"/>
    <x v="0"/>
    <s v="Yes"/>
    <n v="20"/>
    <n v="8"/>
    <n v="57"/>
  </r>
  <r>
    <n v="3246"/>
    <s v="Caio Pereira"/>
    <x v="2"/>
    <d v="2024-03-12T00:00:00"/>
    <x v="0"/>
    <n v="10"/>
    <x v="1"/>
    <s v="No"/>
    <x v="1"/>
    <s v="Yes"/>
    <n v="20"/>
    <n v="12"/>
    <n v="18"/>
  </r>
  <r>
    <n v="3247"/>
    <s v="Beatriz Gomes"/>
    <x v="1"/>
    <d v="2024-03-13T00:00:00"/>
    <x v="1"/>
    <n v="5"/>
    <x v="0"/>
    <s v="No"/>
    <x v="1"/>
    <s v="No"/>
    <n v="0"/>
    <n v="2"/>
    <n v="3"/>
  </r>
  <r>
    <n v="3248"/>
    <s v="Cesar Oliveira"/>
    <x v="0"/>
    <d v="2024-03-14T00:00:00"/>
    <x v="0"/>
    <n v="15"/>
    <x v="2"/>
    <s v="Yes"/>
    <x v="0"/>
    <s v="Yes"/>
    <n v="20"/>
    <n v="7"/>
    <n v="58"/>
  </r>
  <r>
    <n v="3249"/>
    <s v="Débora Machado"/>
    <x v="2"/>
    <d v="2024-03-15T00:00:00"/>
    <x v="1"/>
    <n v="10"/>
    <x v="0"/>
    <s v="No"/>
    <x v="1"/>
    <s v="Yes"/>
    <n v="20"/>
    <n v="5"/>
    <n v="25"/>
  </r>
  <r>
    <n v="3250"/>
    <s v="Eduardo Vargas"/>
    <x v="1"/>
    <d v="2024-03-16T00:00:00"/>
    <x v="0"/>
    <n v="5"/>
    <x v="1"/>
    <s v="No"/>
    <x v="1"/>
    <s v="No"/>
    <n v="0"/>
    <n v="0"/>
    <n v="5"/>
  </r>
  <r>
    <n v="3251"/>
    <s v="Gabriela Santos"/>
    <x v="0"/>
    <d v="2024-03-17T00:00:00"/>
    <x v="1"/>
    <n v="15"/>
    <x v="0"/>
    <s v="Yes"/>
    <x v="0"/>
    <s v="Yes"/>
    <n v="20"/>
    <n v="3"/>
    <n v="62"/>
  </r>
  <r>
    <n v="3252"/>
    <s v="Henrique Dias"/>
    <x v="2"/>
    <d v="2024-03-18T00:00:00"/>
    <x v="0"/>
    <n v="10"/>
    <x v="2"/>
    <s v="No"/>
    <x v="1"/>
    <s v="Yes"/>
    <n v="20"/>
    <n v="15"/>
    <n v="15"/>
  </r>
  <r>
    <n v="3253"/>
    <s v="Isabela Moreira"/>
    <x v="1"/>
    <d v="2024-03-19T00:00:00"/>
    <x v="1"/>
    <n v="5"/>
    <x v="0"/>
    <s v="No"/>
    <x v="1"/>
    <s v="No"/>
    <n v="0"/>
    <n v="1"/>
    <n v="4"/>
  </r>
  <r>
    <n v="3254"/>
    <s v="Joaquim Barbosa"/>
    <x v="0"/>
    <d v="2024-03-20T00:00:00"/>
    <x v="0"/>
    <n v="15"/>
    <x v="1"/>
    <s v="Yes"/>
    <x v="0"/>
    <s v="Yes"/>
    <n v="20"/>
    <n v="20"/>
    <n v="45"/>
  </r>
  <r>
    <n v="3255"/>
    <s v="Lara Rocha"/>
    <x v="2"/>
    <d v="2024-03-21T00:00:00"/>
    <x v="1"/>
    <n v="10"/>
    <x v="0"/>
    <s v="No"/>
    <x v="1"/>
    <s v="Yes"/>
    <n v="20"/>
    <n v="10"/>
    <n v="20"/>
  </r>
  <r>
    <n v="3256"/>
    <s v="Matheus Silva"/>
    <x v="1"/>
    <d v="2024-03-22T00:00:00"/>
    <x v="0"/>
    <n v="5"/>
    <x v="2"/>
    <s v="No"/>
    <x v="1"/>
    <s v="No"/>
    <n v="0"/>
    <n v="0"/>
    <n v="5"/>
  </r>
  <r>
    <n v="3257"/>
    <s v="Nicole Costa"/>
    <x v="0"/>
    <d v="2024-03-23T00:00:00"/>
    <x v="1"/>
    <n v="15"/>
    <x v="0"/>
    <s v="Yes"/>
    <x v="0"/>
    <s v="Yes"/>
    <n v="20"/>
    <n v="5"/>
    <n v="60"/>
  </r>
  <r>
    <n v="3258"/>
    <s v="Otávio Mendonça"/>
    <x v="2"/>
    <d v="2024-03-24T00:00:00"/>
    <x v="0"/>
    <n v="10"/>
    <x v="1"/>
    <s v="No"/>
    <x v="1"/>
    <s v="Yes"/>
    <n v="20"/>
    <n v="15"/>
    <n v="15"/>
  </r>
  <r>
    <n v="3259"/>
    <s v="Paula Ferreira"/>
    <x v="1"/>
    <d v="2024-03-25T00:00:00"/>
    <x v="1"/>
    <n v="5"/>
    <x v="0"/>
    <s v="No"/>
    <x v="1"/>
    <s v="No"/>
    <n v="0"/>
    <n v="1"/>
    <n v="4"/>
  </r>
  <r>
    <n v="3260"/>
    <s v="Raquel Alves"/>
    <x v="0"/>
    <d v="2024-03-26T00:00:00"/>
    <x v="0"/>
    <n v="15"/>
    <x v="2"/>
    <s v="Yes"/>
    <x v="0"/>
    <s v="Yes"/>
    <n v="20"/>
    <n v="7"/>
    <n v="58"/>
  </r>
  <r>
    <n v="3261"/>
    <s v="Samuel Pires"/>
    <x v="2"/>
    <d v="2024-03-27T00:00:00"/>
    <x v="1"/>
    <n v="10"/>
    <x v="0"/>
    <s v="No"/>
    <x v="1"/>
    <s v="Yes"/>
    <n v="20"/>
    <n v="10"/>
    <n v="20"/>
  </r>
  <r>
    <n v="3262"/>
    <s v="Tânia Barros"/>
    <x v="1"/>
    <d v="2024-03-28T00:00:00"/>
    <x v="0"/>
    <n v="5"/>
    <x v="1"/>
    <s v="No"/>
    <x v="1"/>
    <s v="No"/>
    <n v="0"/>
    <n v="0"/>
    <n v="5"/>
  </r>
  <r>
    <n v="3263"/>
    <s v="Vinicius Lima"/>
    <x v="0"/>
    <d v="2024-03-29T00:00:00"/>
    <x v="1"/>
    <n v="15"/>
    <x v="0"/>
    <s v="Yes"/>
    <x v="0"/>
    <s v="Yes"/>
    <n v="20"/>
    <n v="3"/>
    <n v="62"/>
  </r>
  <r>
    <n v="3264"/>
    <s v="Yasmin Teixeira"/>
    <x v="2"/>
    <d v="2024-03-30T00:00:00"/>
    <x v="0"/>
    <n v="10"/>
    <x v="2"/>
    <s v="No"/>
    <x v="1"/>
    <s v="Yes"/>
    <n v="20"/>
    <n v="15"/>
    <n v="15"/>
  </r>
  <r>
    <n v="3265"/>
    <s v="Zé Carlos"/>
    <x v="1"/>
    <d v="2024-03-31T00:00:00"/>
    <x v="1"/>
    <n v="5"/>
    <x v="0"/>
    <s v="No"/>
    <x v="1"/>
    <s v="No"/>
    <n v="0"/>
    <n v="1"/>
    <n v="4"/>
  </r>
  <r>
    <n v="3266"/>
    <s v="Amanda Nogueira"/>
    <x v="1"/>
    <d v="2024-04-01T00:00:00"/>
    <x v="0"/>
    <n v="5"/>
    <x v="0"/>
    <s v="No"/>
    <x v="1"/>
    <s v="No"/>
    <n v="0"/>
    <n v="0"/>
    <n v="5"/>
  </r>
  <r>
    <n v="3267"/>
    <s v="Bruno Cavalheiro"/>
    <x v="0"/>
    <d v="2024-04-02T00:00:00"/>
    <x v="1"/>
    <n v="15"/>
    <x v="2"/>
    <s v="Yes"/>
    <x v="0"/>
    <s v="Yes"/>
    <n v="20"/>
    <n v="7"/>
    <n v="58"/>
  </r>
  <r>
    <n v="3268"/>
    <s v="Carla Dias"/>
    <x v="2"/>
    <d v="2024-04-03T00:00:00"/>
    <x v="0"/>
    <n v="10"/>
    <x v="1"/>
    <s v="No"/>
    <x v="1"/>
    <s v="Yes"/>
    <n v="20"/>
    <n v="10"/>
    <n v="20"/>
  </r>
  <r>
    <n v="3269"/>
    <s v="Diego Fontes"/>
    <x v="1"/>
    <d v="2024-04-04T00:00:00"/>
    <x v="1"/>
    <n v="5"/>
    <x v="2"/>
    <s v="No"/>
    <x v="1"/>
    <s v="No"/>
    <n v="0"/>
    <n v="1"/>
    <n v="4"/>
  </r>
  <r>
    <n v="3270"/>
    <s v="Eunice Lima"/>
    <x v="0"/>
    <d v="2024-04-05T00:00:00"/>
    <x v="0"/>
    <n v="15"/>
    <x v="0"/>
    <s v="Yes"/>
    <x v="0"/>
    <s v="Yes"/>
    <n v="20"/>
    <n v="15"/>
    <n v="50"/>
  </r>
  <r>
    <n v="3271"/>
    <s v="Fábio Martins"/>
    <x v="2"/>
    <d v="2024-04-06T00:00:00"/>
    <x v="1"/>
    <n v="10"/>
    <x v="0"/>
    <s v="No"/>
    <x v="1"/>
    <s v="Yes"/>
    <n v="20"/>
    <n v="5"/>
    <n v="25"/>
  </r>
  <r>
    <n v="3272"/>
    <s v="Gisele Araújo"/>
    <x v="1"/>
    <d v="2024-04-07T00:00:00"/>
    <x v="0"/>
    <n v="5"/>
    <x v="1"/>
    <s v="No"/>
    <x v="1"/>
    <s v="No"/>
    <n v="0"/>
    <n v="0"/>
    <n v="5"/>
  </r>
  <r>
    <n v="3273"/>
    <s v="Hélio Castro"/>
    <x v="0"/>
    <d v="2024-04-08T00:00:00"/>
    <x v="1"/>
    <n v="15"/>
    <x v="2"/>
    <s v="Yes"/>
    <x v="0"/>
    <s v="Yes"/>
    <n v="20"/>
    <n v="20"/>
    <n v="45"/>
  </r>
  <r>
    <n v="3274"/>
    <s v="Ingrid Menezes"/>
    <x v="2"/>
    <d v="2024-04-09T00:00:00"/>
    <x v="0"/>
    <n v="10"/>
    <x v="2"/>
    <s v="No"/>
    <x v="1"/>
    <s v="Yes"/>
    <n v="20"/>
    <n v="12"/>
    <n v="18"/>
  </r>
  <r>
    <n v="3275"/>
    <s v="Jorge Baptista"/>
    <x v="1"/>
    <d v="2024-04-10T00:00:00"/>
    <x v="1"/>
    <n v="5"/>
    <x v="0"/>
    <s v="No"/>
    <x v="1"/>
    <s v="No"/>
    <n v="0"/>
    <n v="2"/>
    <n v="3"/>
  </r>
  <r>
    <n v="3276"/>
    <s v="Kléber Oliveira"/>
    <x v="0"/>
    <d v="2024-04-11T00:00:00"/>
    <x v="0"/>
    <n v="15"/>
    <x v="1"/>
    <s v="Yes"/>
    <x v="0"/>
    <s v="Yes"/>
    <n v="20"/>
    <n v="5"/>
    <n v="60"/>
  </r>
  <r>
    <n v="3277"/>
    <s v="Luciana Freitas"/>
    <x v="2"/>
    <d v="2024-04-12T00:00:00"/>
    <x v="1"/>
    <n v="10"/>
    <x v="0"/>
    <s v="No"/>
    <x v="1"/>
    <s v="Yes"/>
    <n v="20"/>
    <n v="10"/>
    <n v="20"/>
  </r>
  <r>
    <n v="3278"/>
    <s v="Márcia Eller"/>
    <x v="1"/>
    <d v="2024-04-13T00:00:00"/>
    <x v="0"/>
    <n v="5"/>
    <x v="2"/>
    <s v="No"/>
    <x v="1"/>
    <s v="No"/>
    <n v="0"/>
    <n v="0"/>
    <n v="5"/>
  </r>
  <r>
    <n v="3279"/>
    <s v="Nilo Peçanha"/>
    <x v="0"/>
    <d v="2024-04-14T00:00:00"/>
    <x v="1"/>
    <n v="15"/>
    <x v="0"/>
    <s v="Yes"/>
    <x v="0"/>
    <s v="Yes"/>
    <n v="20"/>
    <n v="3"/>
    <n v="62"/>
  </r>
  <r>
    <n v="3280"/>
    <s v="Oscar Neves"/>
    <x v="2"/>
    <d v="2024-04-15T00:00:00"/>
    <x v="0"/>
    <n v="10"/>
    <x v="1"/>
    <s v="No"/>
    <x v="1"/>
    <s v="Yes"/>
    <n v="20"/>
    <n v="15"/>
    <n v="15"/>
  </r>
  <r>
    <n v="3281"/>
    <s v="Patrícia Soares"/>
    <x v="1"/>
    <d v="2024-04-16T00:00:00"/>
    <x v="1"/>
    <n v="5"/>
    <x v="0"/>
    <s v="No"/>
    <x v="1"/>
    <s v="No"/>
    <n v="0"/>
    <n v="1"/>
    <n v="4"/>
  </r>
  <r>
    <n v="3282"/>
    <s v="Quirino Gonçalves"/>
    <x v="0"/>
    <d v="2024-04-17T00:00:00"/>
    <x v="0"/>
    <n v="15"/>
    <x v="2"/>
    <s v="Yes"/>
    <x v="0"/>
    <s v="Yes"/>
    <n v="20"/>
    <n v="7"/>
    <n v="58"/>
  </r>
  <r>
    <n v="3283"/>
    <s v="Raul Machado"/>
    <x v="2"/>
    <d v="2024-04-18T00:00:00"/>
    <x v="1"/>
    <n v="10"/>
    <x v="0"/>
    <s v="No"/>
    <x v="1"/>
    <s v="Yes"/>
    <n v="20"/>
    <n v="10"/>
    <n v="20"/>
  </r>
  <r>
    <n v="3284"/>
    <s v="Sônia Lobo"/>
    <x v="1"/>
    <d v="2024-04-19T00:00:00"/>
    <x v="0"/>
    <n v="5"/>
    <x v="1"/>
    <s v="No"/>
    <x v="1"/>
    <s v="No"/>
    <n v="0"/>
    <n v="0"/>
    <n v="5"/>
  </r>
  <r>
    <n v="3285"/>
    <s v="Tiago Ramos"/>
    <x v="0"/>
    <d v="2024-04-20T00:00:00"/>
    <x v="1"/>
    <n v="15"/>
    <x v="0"/>
    <s v="Yes"/>
    <x v="0"/>
    <s v="Yes"/>
    <n v="20"/>
    <n v="20"/>
    <n v="45"/>
  </r>
  <r>
    <n v="3286"/>
    <s v="Ugo Pires"/>
    <x v="2"/>
    <d v="2024-04-21T00:00:00"/>
    <x v="0"/>
    <n v="10"/>
    <x v="2"/>
    <s v="No"/>
    <x v="1"/>
    <s v="Yes"/>
    <n v="20"/>
    <n v="15"/>
    <n v="15"/>
  </r>
  <r>
    <n v="3287"/>
    <s v="Valéria Nobre"/>
    <x v="1"/>
    <d v="2024-04-22T00:00:00"/>
    <x v="1"/>
    <n v="5"/>
    <x v="0"/>
    <s v="No"/>
    <x v="1"/>
    <s v="No"/>
    <n v="0"/>
    <n v="1"/>
    <n v="4"/>
  </r>
  <r>
    <n v="3288"/>
    <s v="William Siqueira"/>
    <x v="0"/>
    <d v="2024-04-23T00:00:00"/>
    <x v="0"/>
    <n v="15"/>
    <x v="1"/>
    <s v="Yes"/>
    <x v="0"/>
    <s v="Yes"/>
    <n v="20"/>
    <n v="3"/>
    <n v="62"/>
  </r>
  <r>
    <n v="3289"/>
    <s v="Xuxa Meneghel"/>
    <x v="2"/>
    <d v="2024-04-24T00:00:00"/>
    <x v="1"/>
    <n v="10"/>
    <x v="0"/>
    <s v="No"/>
    <x v="1"/>
    <s v="Yes"/>
    <n v="20"/>
    <n v="10"/>
    <n v="20"/>
  </r>
  <r>
    <n v="3290"/>
    <s v="Yara Figueiredo"/>
    <x v="1"/>
    <d v="2024-04-25T00:00:00"/>
    <x v="0"/>
    <n v="5"/>
    <x v="2"/>
    <s v="No"/>
    <x v="1"/>
    <s v="No"/>
    <n v="0"/>
    <n v="0"/>
    <n v="5"/>
  </r>
  <r>
    <n v="3291"/>
    <s v="Zacarias Alves"/>
    <x v="0"/>
    <d v="2024-04-26T00:00:00"/>
    <x v="1"/>
    <n v="15"/>
    <x v="0"/>
    <s v="Yes"/>
    <x v="0"/>
    <s v="Yes"/>
    <n v="20"/>
    <n v="5"/>
    <n v="60"/>
  </r>
  <r>
    <n v="3292"/>
    <s v="Amanda Bynes"/>
    <x v="2"/>
    <d v="2024-04-27T00:00:00"/>
    <x v="0"/>
    <n v="10"/>
    <x v="1"/>
    <s v="No"/>
    <x v="1"/>
    <s v="Yes"/>
    <n v="20"/>
    <n v="15"/>
    <n v="15"/>
  </r>
  <r>
    <n v="3293"/>
    <s v="Bruno Mars"/>
    <x v="1"/>
    <d v="2024-04-28T00:00:00"/>
    <x v="1"/>
    <n v="5"/>
    <x v="0"/>
    <s v="No"/>
    <x v="1"/>
    <s v="No"/>
    <n v="0"/>
    <n v="1"/>
    <n v="4"/>
  </r>
  <r>
    <n v="3294"/>
    <s v="Carla Bruni"/>
    <x v="0"/>
    <d v="2024-04-29T00:00:00"/>
    <x v="0"/>
    <n v="15"/>
    <x v="2"/>
    <s v="Yes"/>
    <x v="0"/>
    <s v="Yes"/>
    <n v="20"/>
    <n v="20"/>
    <n v="45"/>
  </r>
  <r>
    <n v="3295"/>
    <s v="Diego Maradona"/>
    <x v="2"/>
    <d v="2024-04-30T00:00:00"/>
    <x v="1"/>
    <n v="10"/>
    <x v="0"/>
    <s v="No"/>
    <x v="1"/>
    <s v="Yes"/>
    <n v="20"/>
    <n v="5"/>
    <n v="25"/>
  </r>
  <r>
    <n v="3296"/>
    <s v="Estela Marques"/>
    <x v="1"/>
    <d v="2024-05-01T00:00:00"/>
    <x v="1"/>
    <n v="5"/>
    <x v="0"/>
    <s v="No"/>
    <x v="1"/>
    <s v="No"/>
    <n v="0"/>
    <n v="0"/>
    <n v="5"/>
  </r>
  <r>
    <n v="3297"/>
    <s v="Fábio Nobre"/>
    <x v="0"/>
    <d v="2024-05-02T00:00:00"/>
    <x v="0"/>
    <n v="15"/>
    <x v="2"/>
    <s v="Yes"/>
    <x v="0"/>
    <s v="Yes"/>
    <n v="20"/>
    <n v="7"/>
    <n v="58"/>
  </r>
  <r>
    <n v="3298"/>
    <s v="Gabriel Oliveira"/>
    <x v="2"/>
    <d v="2024-05-03T00:00:00"/>
    <x v="1"/>
    <n v="10"/>
    <x v="1"/>
    <s v="No"/>
    <x v="1"/>
    <s v="Yes"/>
    <n v="20"/>
    <n v="10"/>
    <n v="20"/>
  </r>
  <r>
    <n v="3299"/>
    <s v="Helena Santos"/>
    <x v="1"/>
    <d v="2024-05-04T00:00:00"/>
    <x v="0"/>
    <n v="5"/>
    <x v="2"/>
    <s v="No"/>
    <x v="1"/>
    <s v="No"/>
    <n v="0"/>
    <n v="1"/>
    <n v="4"/>
  </r>
  <r>
    <n v="3300"/>
    <s v="Ivan Carvalho"/>
    <x v="0"/>
    <d v="2024-05-05T00:00:00"/>
    <x v="1"/>
    <n v="15"/>
    <x v="0"/>
    <s v="Yes"/>
    <x v="0"/>
    <s v="Yes"/>
    <n v="20"/>
    <n v="15"/>
    <n v="50"/>
  </r>
  <r>
    <n v="3301"/>
    <s v="Júlia Ferreira"/>
    <x v="2"/>
    <d v="2024-05-06T00:00:00"/>
    <x v="0"/>
    <n v="10"/>
    <x v="0"/>
    <s v="No"/>
    <x v="1"/>
    <s v="Yes"/>
    <n v="20"/>
    <n v="5"/>
    <n v="25"/>
  </r>
  <r>
    <n v="3302"/>
    <s v="Karla Alves"/>
    <x v="1"/>
    <d v="2024-05-07T00:00:00"/>
    <x v="1"/>
    <n v="5"/>
    <x v="1"/>
    <s v="No"/>
    <x v="1"/>
    <s v="No"/>
    <n v="0"/>
    <n v="0"/>
    <n v="5"/>
  </r>
  <r>
    <n v="3303"/>
    <s v="Lucas Mendes"/>
    <x v="0"/>
    <d v="2024-05-08T00:00:00"/>
    <x v="0"/>
    <n v="15"/>
    <x v="2"/>
    <s v="Yes"/>
    <x v="0"/>
    <s v="Yes"/>
    <n v="20"/>
    <n v="20"/>
    <n v="45"/>
  </r>
  <r>
    <n v="3304"/>
    <s v="Mônica Gomes"/>
    <x v="2"/>
    <d v="2024-05-09T00:00:00"/>
    <x v="1"/>
    <n v="10"/>
    <x v="2"/>
    <s v="No"/>
    <x v="1"/>
    <s v="Yes"/>
    <n v="20"/>
    <n v="12"/>
    <n v="18"/>
  </r>
  <r>
    <n v="3305"/>
    <s v="Norberto Queiroz"/>
    <x v="1"/>
    <d v="2024-05-10T00:00:00"/>
    <x v="0"/>
    <n v="5"/>
    <x v="0"/>
    <s v="No"/>
    <x v="1"/>
    <s v="No"/>
    <n v="0"/>
    <n v="2"/>
    <n v="3"/>
  </r>
  <r>
    <n v="3306"/>
    <s v="Otávio Barros"/>
    <x v="0"/>
    <d v="2024-05-11T00:00:00"/>
    <x v="1"/>
    <n v="15"/>
    <x v="1"/>
    <s v="Yes"/>
    <x v="0"/>
    <s v="Yes"/>
    <n v="20"/>
    <n v="5"/>
    <n v="60"/>
  </r>
  <r>
    <n v="3307"/>
    <s v="Paula Vieira"/>
    <x v="2"/>
    <d v="2024-05-12T00:00:00"/>
    <x v="0"/>
    <n v="10"/>
    <x v="0"/>
    <s v="No"/>
    <x v="1"/>
    <s v="Yes"/>
    <n v="20"/>
    <n v="10"/>
    <n v="20"/>
  </r>
  <r>
    <n v="3308"/>
    <s v="Quentin Ramos"/>
    <x v="1"/>
    <d v="2024-05-13T00:00:00"/>
    <x v="1"/>
    <n v="5"/>
    <x v="2"/>
    <s v="No"/>
    <x v="1"/>
    <s v="No"/>
    <n v="0"/>
    <n v="0"/>
    <n v="5"/>
  </r>
  <r>
    <n v="3309"/>
    <s v="Raquel Novaes"/>
    <x v="0"/>
    <d v="2024-05-14T00:00:00"/>
    <x v="0"/>
    <n v="15"/>
    <x v="0"/>
    <s v="Yes"/>
    <x v="0"/>
    <s v="Yes"/>
    <n v="20"/>
    <n v="3"/>
    <n v="62"/>
  </r>
  <r>
    <n v="3310"/>
    <s v="Samantha Lopes"/>
    <x v="2"/>
    <d v="2024-05-15T00:00:00"/>
    <x v="1"/>
    <n v="10"/>
    <x v="1"/>
    <s v="No"/>
    <x v="1"/>
    <s v="Yes"/>
    <n v="20"/>
    <n v="15"/>
    <n v="15"/>
  </r>
  <r>
    <n v="3311"/>
    <s v="Tiago Martins"/>
    <x v="1"/>
    <d v="2024-05-16T00:00:00"/>
    <x v="0"/>
    <n v="5"/>
    <x v="0"/>
    <s v="No"/>
    <x v="1"/>
    <s v="No"/>
    <n v="0"/>
    <n v="1"/>
    <n v="4"/>
  </r>
  <r>
    <n v="3312"/>
    <s v="Ulysses Guimarães"/>
    <x v="0"/>
    <d v="2024-05-17T00:00:00"/>
    <x v="1"/>
    <n v="15"/>
    <x v="2"/>
    <s v="Yes"/>
    <x v="0"/>
    <s v="Yes"/>
    <n v="20"/>
    <n v="7"/>
    <n v="58"/>
  </r>
  <r>
    <n v="3313"/>
    <s v="Vanessa Silva"/>
    <x v="2"/>
    <d v="2024-05-18T00:00:00"/>
    <x v="0"/>
    <n v="10"/>
    <x v="0"/>
    <s v="No"/>
    <x v="1"/>
    <s v="Yes"/>
    <n v="20"/>
    <n v="10"/>
    <n v="20"/>
  </r>
  <r>
    <n v="3314"/>
    <s v="William Carneiro"/>
    <x v="1"/>
    <d v="2024-05-19T00:00:00"/>
    <x v="1"/>
    <n v="5"/>
    <x v="1"/>
    <s v="No"/>
    <x v="1"/>
    <s v="No"/>
    <n v="0"/>
    <n v="0"/>
    <n v="5"/>
  </r>
  <r>
    <n v="3315"/>
    <s v="Ximena Rocha"/>
    <x v="0"/>
    <d v="2024-05-20T00:00:00"/>
    <x v="0"/>
    <n v="15"/>
    <x v="0"/>
    <s v="Yes"/>
    <x v="0"/>
    <s v="Yes"/>
    <n v="20"/>
    <n v="20"/>
    <n v="45"/>
  </r>
  <r>
    <n v="3316"/>
    <s v="Yasmin Figueiredo"/>
    <x v="2"/>
    <d v="2024-05-21T00:00:00"/>
    <x v="1"/>
    <n v="10"/>
    <x v="2"/>
    <s v="No"/>
    <x v="1"/>
    <s v="Yes"/>
    <n v="20"/>
    <n v="15"/>
    <n v="15"/>
  </r>
  <r>
    <n v="3317"/>
    <s v="Zara Cunha"/>
    <x v="1"/>
    <d v="2024-05-22T00:00:00"/>
    <x v="0"/>
    <n v="5"/>
    <x v="0"/>
    <s v="No"/>
    <x v="1"/>
    <s v="No"/>
    <n v="0"/>
    <n v="1"/>
    <n v="4"/>
  </r>
  <r>
    <n v="3318"/>
    <s v="Alan Teixeira"/>
    <x v="0"/>
    <d v="2024-05-23T00:00:00"/>
    <x v="1"/>
    <n v="15"/>
    <x v="1"/>
    <s v="Yes"/>
    <x v="0"/>
    <s v="Yes"/>
    <n v="20"/>
    <n v="3"/>
    <n v="62"/>
  </r>
  <r>
    <n v="3319"/>
    <s v="Bárbara Oliveira"/>
    <x v="2"/>
    <d v="2024-05-24T00:00:00"/>
    <x v="0"/>
    <n v="10"/>
    <x v="0"/>
    <s v="No"/>
    <x v="1"/>
    <s v="Yes"/>
    <n v="20"/>
    <n v="10"/>
    <n v="20"/>
  </r>
  <r>
    <n v="3320"/>
    <s v="Carlos Junqueira"/>
    <x v="1"/>
    <d v="2024-05-25T00:00:00"/>
    <x v="1"/>
    <n v="5"/>
    <x v="2"/>
    <s v="No"/>
    <x v="1"/>
    <s v="No"/>
    <n v="0"/>
    <n v="0"/>
    <n v="5"/>
  </r>
  <r>
    <n v="3321"/>
    <s v="Daniela Moura"/>
    <x v="0"/>
    <d v="2024-05-26T00:00:00"/>
    <x v="0"/>
    <n v="15"/>
    <x v="0"/>
    <s v="Yes"/>
    <x v="0"/>
    <s v="Yes"/>
    <n v="20"/>
    <n v="5"/>
    <n v="60"/>
  </r>
  <r>
    <n v="3322"/>
    <s v="Eduardo Lima"/>
    <x v="2"/>
    <d v="2024-05-27T00:00:00"/>
    <x v="1"/>
    <n v="10"/>
    <x v="1"/>
    <s v="No"/>
    <x v="1"/>
    <s v="Yes"/>
    <n v="20"/>
    <n v="15"/>
    <n v="15"/>
  </r>
  <r>
    <n v="3323"/>
    <s v="Fabiana Araújo"/>
    <x v="1"/>
    <d v="2024-05-28T00:00:00"/>
    <x v="0"/>
    <n v="5"/>
    <x v="0"/>
    <s v="No"/>
    <x v="1"/>
    <s v="No"/>
    <n v="0"/>
    <n v="1"/>
    <n v="4"/>
  </r>
  <r>
    <n v="3324"/>
    <s v="Geraldo Ribeiro"/>
    <x v="0"/>
    <d v="2024-05-29T00:00:00"/>
    <x v="1"/>
    <n v="15"/>
    <x v="2"/>
    <s v="Yes"/>
    <x v="0"/>
    <s v="Yes"/>
    <n v="20"/>
    <n v="20"/>
    <n v="45"/>
  </r>
  <r>
    <n v="3325"/>
    <s v="Héctor Vargas"/>
    <x v="2"/>
    <d v="2024-05-30T00:00:00"/>
    <x v="0"/>
    <n v="10"/>
    <x v="2"/>
    <s v="No"/>
    <x v="1"/>
    <s v="Yes"/>
    <n v="20"/>
    <n v="15"/>
    <n v="15"/>
  </r>
  <r>
    <n v="3326"/>
    <s v="Isabela Fonseca"/>
    <x v="1"/>
    <d v="2024-05-31T00:00:00"/>
    <x v="1"/>
    <n v="5"/>
    <x v="1"/>
    <s v="No"/>
    <x v="1"/>
    <s v="No"/>
    <n v="0"/>
    <n v="0"/>
    <n v="5"/>
  </r>
  <r>
    <n v="3327"/>
    <s v="João Pedro Almeida"/>
    <x v="0"/>
    <d v="2024-06-01T00:00:00"/>
    <x v="0"/>
    <n v="15"/>
    <x v="0"/>
    <s v="Yes"/>
    <x v="0"/>
    <s v="Yes"/>
    <n v="20"/>
    <n v="7"/>
    <n v="58"/>
  </r>
  <r>
    <n v="3328"/>
    <s v="Klara Costa"/>
    <x v="2"/>
    <d v="2024-06-02T00:00:00"/>
    <x v="1"/>
    <n v="10"/>
    <x v="1"/>
    <s v="No"/>
    <x v="1"/>
    <s v="Yes"/>
    <n v="20"/>
    <n v="10"/>
    <n v="20"/>
  </r>
  <r>
    <n v="3329"/>
    <s v="Luciana Mendes"/>
    <x v="1"/>
    <d v="2024-06-03T00:00:00"/>
    <x v="0"/>
    <n v="5"/>
    <x v="2"/>
    <s v="No"/>
    <x v="1"/>
    <s v="No"/>
    <n v="0"/>
    <n v="1"/>
    <n v="4"/>
  </r>
  <r>
    <n v="3330"/>
    <s v="Marcelo Gouveia"/>
    <x v="0"/>
    <d v="2024-06-04T00:00:00"/>
    <x v="1"/>
    <n v="15"/>
    <x v="0"/>
    <s v="Yes"/>
    <x v="0"/>
    <s v="Yes"/>
    <n v="20"/>
    <n v="15"/>
    <n v="50"/>
  </r>
  <r>
    <n v="3331"/>
    <s v="Nívea Borges"/>
    <x v="2"/>
    <d v="2024-06-05T00:00:00"/>
    <x v="0"/>
    <n v="10"/>
    <x v="0"/>
    <s v="No"/>
    <x v="1"/>
    <s v="Yes"/>
    <n v="20"/>
    <n v="5"/>
    <n v="25"/>
  </r>
  <r>
    <n v="3332"/>
    <s v="Oscar Nogueira"/>
    <x v="1"/>
    <d v="2024-06-06T00:00:00"/>
    <x v="1"/>
    <n v="5"/>
    <x v="1"/>
    <s v="No"/>
    <x v="1"/>
    <s v="No"/>
    <n v="0"/>
    <n v="0"/>
    <n v="5"/>
  </r>
  <r>
    <n v="3333"/>
    <s v="Patrícia Alves"/>
    <x v="0"/>
    <d v="2024-06-07T00:00:00"/>
    <x v="0"/>
    <n v="15"/>
    <x v="2"/>
    <s v="Yes"/>
    <x v="0"/>
    <s v="Yes"/>
    <n v="20"/>
    <n v="20"/>
    <n v="45"/>
  </r>
  <r>
    <n v="3334"/>
    <s v="Rafaela Silva"/>
    <x v="2"/>
    <d v="2024-06-08T00:00:00"/>
    <x v="1"/>
    <n v="10"/>
    <x v="2"/>
    <s v="No"/>
    <x v="1"/>
    <s v="Yes"/>
    <n v="20"/>
    <n v="12"/>
    <n v="18"/>
  </r>
  <r>
    <n v="3335"/>
    <s v="Samantha Moraes"/>
    <x v="1"/>
    <d v="2024-06-09T00:00:00"/>
    <x v="0"/>
    <n v="5"/>
    <x v="0"/>
    <s v="No"/>
    <x v="1"/>
    <s v="No"/>
    <n v="0"/>
    <n v="2"/>
    <n v="3"/>
  </r>
  <r>
    <n v="3336"/>
    <s v="Tatiana Rocha"/>
    <x v="1"/>
    <d v="2024-06-10T00:00:00"/>
    <x v="0"/>
    <n v="5"/>
    <x v="0"/>
    <s v="No"/>
    <x v="1"/>
    <s v="No"/>
    <n v="0"/>
    <n v="0"/>
    <n v="5"/>
  </r>
  <r>
    <n v="3337"/>
    <s v="Ulisses Tavares"/>
    <x v="0"/>
    <d v="2024-06-11T00:00:00"/>
    <x v="1"/>
    <n v="15"/>
    <x v="2"/>
    <s v="Yes"/>
    <x v="0"/>
    <s v="Yes"/>
    <n v="20"/>
    <n v="7"/>
    <n v="58"/>
  </r>
  <r>
    <n v="3338"/>
    <s v="Víctor Lemos"/>
    <x v="2"/>
    <d v="2024-06-12T00:00:00"/>
    <x v="0"/>
    <n v="10"/>
    <x v="1"/>
    <s v="No"/>
    <x v="1"/>
    <s v="Yes"/>
    <n v="20"/>
    <n v="10"/>
    <n v="20"/>
  </r>
  <r>
    <n v="3339"/>
    <s v="Wilma Barros"/>
    <x v="1"/>
    <d v="2024-06-13T00:00:00"/>
    <x v="1"/>
    <n v="5"/>
    <x v="2"/>
    <s v="No"/>
    <x v="1"/>
    <s v="No"/>
    <n v="0"/>
    <n v="1"/>
    <n v="4"/>
  </r>
  <r>
    <n v="3340"/>
    <s v="Xavier Nascimento"/>
    <x v="0"/>
    <d v="2024-06-14T00:00:00"/>
    <x v="0"/>
    <n v="15"/>
    <x v="0"/>
    <s v="Yes"/>
    <x v="0"/>
    <s v="Yes"/>
    <n v="20"/>
    <n v="15"/>
    <n v="50"/>
  </r>
  <r>
    <n v="3341"/>
    <s v="Yago Pereira"/>
    <x v="2"/>
    <d v="2024-06-15T00:00:00"/>
    <x v="1"/>
    <n v="10"/>
    <x v="0"/>
    <s v="No"/>
    <x v="1"/>
    <s v="Yes"/>
    <n v="20"/>
    <n v="5"/>
    <n v="25"/>
  </r>
  <r>
    <n v="3342"/>
    <s v="Zilda Ferreira"/>
    <x v="1"/>
    <d v="2024-06-16T00:00:00"/>
    <x v="0"/>
    <n v="5"/>
    <x v="1"/>
    <s v="No"/>
    <x v="1"/>
    <s v="No"/>
    <n v="0"/>
    <n v="0"/>
    <n v="5"/>
  </r>
  <r>
    <n v="3343"/>
    <s v="Amanda Lopes"/>
    <x v="0"/>
    <d v="2024-06-17T00:00:00"/>
    <x v="1"/>
    <n v="15"/>
    <x v="2"/>
    <s v="Yes"/>
    <x v="0"/>
    <s v="Yes"/>
    <n v="20"/>
    <n v="20"/>
    <n v="45"/>
  </r>
  <r>
    <n v="3344"/>
    <s v="Bruno Miranda"/>
    <x v="2"/>
    <d v="2024-06-18T00:00:00"/>
    <x v="0"/>
    <n v="10"/>
    <x v="2"/>
    <s v="No"/>
    <x v="1"/>
    <s v="Yes"/>
    <n v="20"/>
    <n v="12"/>
    <n v="18"/>
  </r>
  <r>
    <n v="3345"/>
    <s v="Célia Torres"/>
    <x v="1"/>
    <d v="2024-06-19T00:00:00"/>
    <x v="1"/>
    <n v="5"/>
    <x v="0"/>
    <s v="No"/>
    <x v="1"/>
    <s v="No"/>
    <n v="0"/>
    <n v="2"/>
    <n v="3"/>
  </r>
  <r>
    <n v="3346"/>
    <s v="Diogo Souza"/>
    <x v="0"/>
    <d v="2024-06-20T00:00:00"/>
    <x v="0"/>
    <n v="15"/>
    <x v="1"/>
    <s v="Yes"/>
    <x v="0"/>
    <s v="Yes"/>
    <n v="20"/>
    <n v="5"/>
    <n v="60"/>
  </r>
  <r>
    <n v="3347"/>
    <s v="Elisa Castro"/>
    <x v="2"/>
    <d v="2024-06-21T00:00:00"/>
    <x v="1"/>
    <n v="10"/>
    <x v="0"/>
    <s v="No"/>
    <x v="1"/>
    <s v="Yes"/>
    <n v="20"/>
    <n v="10"/>
    <n v="20"/>
  </r>
  <r>
    <n v="3348"/>
    <s v="Fátima Lima"/>
    <x v="1"/>
    <d v="2024-06-22T00:00:00"/>
    <x v="0"/>
    <n v="5"/>
    <x v="2"/>
    <s v="No"/>
    <x v="1"/>
    <s v="No"/>
    <n v="0"/>
    <n v="0"/>
    <n v="5"/>
  </r>
  <r>
    <n v="3349"/>
    <s v="Geraldo Ribeiro"/>
    <x v="0"/>
    <d v="2024-06-23T00:00:00"/>
    <x v="1"/>
    <n v="15"/>
    <x v="0"/>
    <s v="Yes"/>
    <x v="0"/>
    <s v="Yes"/>
    <n v="20"/>
    <n v="3"/>
    <n v="62"/>
  </r>
  <r>
    <n v="3350"/>
    <s v="Hélio Martins"/>
    <x v="2"/>
    <d v="2024-06-24T00:00:00"/>
    <x v="0"/>
    <n v="10"/>
    <x v="1"/>
    <s v="No"/>
    <x v="1"/>
    <s v="Yes"/>
    <n v="20"/>
    <n v="15"/>
    <n v="15"/>
  </r>
  <r>
    <n v="3351"/>
    <s v="Íris Santos"/>
    <x v="1"/>
    <d v="2024-06-25T00:00:00"/>
    <x v="1"/>
    <n v="5"/>
    <x v="0"/>
    <s v="No"/>
    <x v="1"/>
    <s v="No"/>
    <n v="0"/>
    <n v="1"/>
    <n v="4"/>
  </r>
  <r>
    <n v="3352"/>
    <s v="João Marcelo"/>
    <x v="0"/>
    <d v="2024-06-26T00:00:00"/>
    <x v="0"/>
    <n v="15"/>
    <x v="2"/>
    <s v="Yes"/>
    <x v="0"/>
    <s v="Yes"/>
    <n v="20"/>
    <n v="7"/>
    <n v="58"/>
  </r>
  <r>
    <n v="3353"/>
    <s v="Larissa Gomes"/>
    <x v="2"/>
    <d v="2024-06-27T00:00:00"/>
    <x v="1"/>
    <n v="10"/>
    <x v="0"/>
    <s v="No"/>
    <x v="1"/>
    <s v="Yes"/>
    <n v="20"/>
    <n v="10"/>
    <n v="20"/>
  </r>
  <r>
    <n v="3354"/>
    <s v="Márcio Silva"/>
    <x v="1"/>
    <d v="2024-06-28T00:00:00"/>
    <x v="0"/>
    <n v="5"/>
    <x v="1"/>
    <s v="No"/>
    <x v="1"/>
    <s v="No"/>
    <n v="0"/>
    <n v="0"/>
    <n v="5"/>
  </r>
  <r>
    <n v="3355"/>
    <s v="Nadia Costa"/>
    <x v="0"/>
    <d v="2024-06-29T00:00:00"/>
    <x v="1"/>
    <n v="15"/>
    <x v="0"/>
    <s v="Yes"/>
    <x v="0"/>
    <s v="Yes"/>
    <n v="20"/>
    <n v="20"/>
    <n v="45"/>
  </r>
  <r>
    <n v="3356"/>
    <s v="Oscar Almeida"/>
    <x v="2"/>
    <d v="2024-06-30T00:00:00"/>
    <x v="0"/>
    <n v="10"/>
    <x v="2"/>
    <s v="No"/>
    <x v="1"/>
    <s v="Yes"/>
    <n v="20"/>
    <n v="15"/>
    <n v="15"/>
  </r>
  <r>
    <n v="3357"/>
    <s v="Patricia Soares"/>
    <x v="1"/>
    <d v="2024-07-01T00:00:00"/>
    <x v="1"/>
    <n v="5"/>
    <x v="0"/>
    <s v="No"/>
    <x v="1"/>
    <s v="No"/>
    <n v="0"/>
    <n v="1"/>
    <n v="4"/>
  </r>
  <r>
    <n v="3358"/>
    <s v="Quênia Barros"/>
    <x v="0"/>
    <d v="2024-07-02T00:00:00"/>
    <x v="0"/>
    <n v="15"/>
    <x v="1"/>
    <s v="Yes"/>
    <x v="0"/>
    <s v="Yes"/>
    <n v="20"/>
    <n v="3"/>
    <n v="62"/>
  </r>
  <r>
    <n v="3359"/>
    <s v="Rafael Torres"/>
    <x v="2"/>
    <d v="2024-07-03T00:00:00"/>
    <x v="1"/>
    <n v="10"/>
    <x v="0"/>
    <s v="No"/>
    <x v="1"/>
    <s v="Yes"/>
    <n v="20"/>
    <n v="10"/>
    <n v="20"/>
  </r>
  <r>
    <n v="3360"/>
    <s v="Silvia Nascimento"/>
    <x v="1"/>
    <d v="2024-07-04T00:00:00"/>
    <x v="0"/>
    <n v="5"/>
    <x v="2"/>
    <s v="No"/>
    <x v="1"/>
    <s v="No"/>
    <n v="0"/>
    <n v="0"/>
    <n v="5"/>
  </r>
  <r>
    <n v="3361"/>
    <s v="Tiago Mendes"/>
    <x v="0"/>
    <d v="2024-07-05T00:00:00"/>
    <x v="1"/>
    <n v="15"/>
    <x v="0"/>
    <s v="Yes"/>
    <x v="0"/>
    <s v="Yes"/>
    <n v="20"/>
    <n v="15"/>
    <n v="50"/>
  </r>
  <r>
    <n v="3362"/>
    <s v="Ursula Silva"/>
    <x v="2"/>
    <d v="2024-07-06T00:00:00"/>
    <x v="0"/>
    <n v="10"/>
    <x v="1"/>
    <s v="No"/>
    <x v="1"/>
    <s v="Yes"/>
    <n v="20"/>
    <n v="15"/>
    <n v="15"/>
  </r>
  <r>
    <n v="3363"/>
    <s v="Vanessa Moraes"/>
    <x v="1"/>
    <d v="2024-07-07T00:00:00"/>
    <x v="1"/>
    <n v="5"/>
    <x v="0"/>
    <s v="No"/>
    <x v="1"/>
    <s v="No"/>
    <n v="0"/>
    <n v="1"/>
    <n v="4"/>
  </r>
  <r>
    <n v="3364"/>
    <s v="Waldir Junior"/>
    <x v="0"/>
    <d v="2024-07-08T00:00:00"/>
    <x v="0"/>
    <n v="15"/>
    <x v="2"/>
    <s v="Yes"/>
    <x v="0"/>
    <s v="Yes"/>
    <n v="20"/>
    <n v="7"/>
    <n v="58"/>
  </r>
  <r>
    <n v="3365"/>
    <s v="Xavier Lopes"/>
    <x v="2"/>
    <d v="2024-07-09T00:00:00"/>
    <x v="1"/>
    <n v="10"/>
    <x v="0"/>
    <s v="No"/>
    <x v="1"/>
    <s v="Yes"/>
    <n v="20"/>
    <n v="10"/>
    <n v="20"/>
  </r>
  <r>
    <n v="3366"/>
    <s v="Yolanda Freitas"/>
    <x v="1"/>
    <d v="2024-07-10T00:00:00"/>
    <x v="0"/>
    <n v="5"/>
    <x v="0"/>
    <s v="No"/>
    <x v="1"/>
    <s v="No"/>
    <n v="0"/>
    <n v="0"/>
    <n v="5"/>
  </r>
  <r>
    <n v="3367"/>
    <s v="Zacarias Nunes"/>
    <x v="0"/>
    <d v="2024-07-11T00:00:00"/>
    <x v="1"/>
    <n v="15"/>
    <x v="2"/>
    <s v="Yes"/>
    <x v="0"/>
    <s v="Yes"/>
    <n v="20"/>
    <n v="7"/>
    <n v="58"/>
  </r>
  <r>
    <n v="3368"/>
    <s v="Ana Clara Barreto"/>
    <x v="2"/>
    <d v="2024-07-12T00:00:00"/>
    <x v="0"/>
    <n v="10"/>
    <x v="1"/>
    <s v="No"/>
    <x v="1"/>
    <s v="Yes"/>
    <n v="20"/>
    <n v="10"/>
    <n v="20"/>
  </r>
  <r>
    <n v="3369"/>
    <s v="Bruno Henrique"/>
    <x v="1"/>
    <d v="2024-07-13T00:00:00"/>
    <x v="1"/>
    <n v="5"/>
    <x v="2"/>
    <s v="No"/>
    <x v="1"/>
    <s v="No"/>
    <n v="0"/>
    <n v="1"/>
    <n v="4"/>
  </r>
  <r>
    <n v="3370"/>
    <s v="Carlos Eduardo"/>
    <x v="0"/>
    <d v="2024-07-14T00:00:00"/>
    <x v="0"/>
    <n v="15"/>
    <x v="0"/>
    <s v="Yes"/>
    <x v="0"/>
    <s v="Yes"/>
    <n v="20"/>
    <n v="15"/>
    <n v="50"/>
  </r>
  <r>
    <n v="3371"/>
    <s v="Débora Lima"/>
    <x v="2"/>
    <d v="2024-07-15T00:00:00"/>
    <x v="1"/>
    <n v="10"/>
    <x v="0"/>
    <s v="No"/>
    <x v="1"/>
    <s v="Yes"/>
    <n v="20"/>
    <n v="5"/>
    <n v="25"/>
  </r>
  <r>
    <n v="3372"/>
    <s v="Elisa Neves"/>
    <x v="1"/>
    <d v="2024-07-16T00:00:00"/>
    <x v="0"/>
    <n v="5"/>
    <x v="1"/>
    <s v="No"/>
    <x v="1"/>
    <s v="No"/>
    <n v="0"/>
    <n v="0"/>
    <n v="5"/>
  </r>
  <r>
    <n v="3373"/>
    <s v="Fabiano Gomes"/>
    <x v="0"/>
    <d v="2024-07-17T00:00:00"/>
    <x v="1"/>
    <n v="15"/>
    <x v="2"/>
    <s v="Yes"/>
    <x v="0"/>
    <s v="Yes"/>
    <n v="20"/>
    <n v="20"/>
    <n v="45"/>
  </r>
  <r>
    <n v="3374"/>
    <s v="Gisele Oliveira"/>
    <x v="2"/>
    <d v="2024-07-18T00:00:00"/>
    <x v="0"/>
    <n v="10"/>
    <x v="2"/>
    <s v="No"/>
    <x v="1"/>
    <s v="Yes"/>
    <n v="20"/>
    <n v="12"/>
    <n v="18"/>
  </r>
  <r>
    <n v="3375"/>
    <s v="Héctor Silva"/>
    <x v="1"/>
    <d v="2024-07-19T00:00:00"/>
    <x v="1"/>
    <n v="5"/>
    <x v="0"/>
    <s v="No"/>
    <x v="1"/>
    <s v="No"/>
    <n v="0"/>
    <n v="2"/>
    <n v="3"/>
  </r>
  <r>
    <n v="3376"/>
    <s v="Igor Martins"/>
    <x v="0"/>
    <d v="2024-07-20T00:00:00"/>
    <x v="0"/>
    <n v="15"/>
    <x v="1"/>
    <s v="Yes"/>
    <x v="0"/>
    <s v="Yes"/>
    <n v="20"/>
    <n v="5"/>
    <n v="60"/>
  </r>
  <r>
    <n v="3377"/>
    <s v="Joana Figueiredo"/>
    <x v="2"/>
    <d v="2024-07-21T00:00:00"/>
    <x v="1"/>
    <n v="10"/>
    <x v="0"/>
    <s v="No"/>
    <x v="1"/>
    <s v="Yes"/>
    <n v="20"/>
    <n v="10"/>
    <n v="20"/>
  </r>
  <r>
    <n v="3378"/>
    <s v="Kleber Machado"/>
    <x v="1"/>
    <d v="2024-07-22T00:00:00"/>
    <x v="0"/>
    <n v="5"/>
    <x v="2"/>
    <s v="No"/>
    <x v="1"/>
    <s v="No"/>
    <n v="0"/>
    <n v="0"/>
    <n v="5"/>
  </r>
  <r>
    <n v="3379"/>
    <s v="Luciana Santos"/>
    <x v="0"/>
    <d v="2024-07-23T00:00:00"/>
    <x v="1"/>
    <n v="15"/>
    <x v="0"/>
    <s v="Yes"/>
    <x v="0"/>
    <s v="Yes"/>
    <n v="20"/>
    <n v="3"/>
    <n v="62"/>
  </r>
  <r>
    <n v="3380"/>
    <s v="Marcos Teixeira"/>
    <x v="2"/>
    <d v="2024-07-24T00:00:00"/>
    <x v="0"/>
    <n v="10"/>
    <x v="1"/>
    <s v="No"/>
    <x v="1"/>
    <s v="Yes"/>
    <n v="20"/>
    <n v="15"/>
    <n v="15"/>
  </r>
  <r>
    <n v="3381"/>
    <s v="Natalia Costa"/>
    <x v="1"/>
    <d v="2024-07-25T00:00:00"/>
    <x v="1"/>
    <n v="5"/>
    <x v="0"/>
    <s v="No"/>
    <x v="1"/>
    <s v="No"/>
    <n v="0"/>
    <n v="1"/>
    <n v="4"/>
  </r>
  <r>
    <n v="3382"/>
    <s v="Oscar Ribeiro"/>
    <x v="0"/>
    <d v="2024-07-26T00:00:00"/>
    <x v="0"/>
    <n v="15"/>
    <x v="2"/>
    <s v="Yes"/>
    <x v="0"/>
    <s v="Yes"/>
    <n v="20"/>
    <n v="7"/>
    <n v="58"/>
  </r>
  <r>
    <n v="3383"/>
    <s v="Patricia Almeida"/>
    <x v="2"/>
    <d v="2024-07-27T00:00:00"/>
    <x v="1"/>
    <n v="10"/>
    <x v="0"/>
    <s v="No"/>
    <x v="1"/>
    <s v="Yes"/>
    <n v="20"/>
    <n v="10"/>
    <n v="20"/>
  </r>
  <r>
    <n v="3384"/>
    <s v="Quirino Junior"/>
    <x v="1"/>
    <d v="2024-07-28T00:00:00"/>
    <x v="0"/>
    <n v="5"/>
    <x v="1"/>
    <s v="No"/>
    <x v="1"/>
    <s v="No"/>
    <n v="0"/>
    <n v="0"/>
    <n v="5"/>
  </r>
  <r>
    <n v="3385"/>
    <s v="Renata Machado"/>
    <x v="0"/>
    <d v="2024-07-29T00:00:00"/>
    <x v="1"/>
    <n v="15"/>
    <x v="0"/>
    <s v="Yes"/>
    <x v="0"/>
    <s v="Yes"/>
    <n v="20"/>
    <n v="20"/>
    <n v="45"/>
  </r>
  <r>
    <n v="3386"/>
    <s v="Sônia Alves"/>
    <x v="2"/>
    <d v="2024-07-30T00:00:00"/>
    <x v="0"/>
    <n v="10"/>
    <x v="2"/>
    <s v="No"/>
    <x v="1"/>
    <s v="Yes"/>
    <n v="20"/>
    <n v="15"/>
    <n v="15"/>
  </r>
  <r>
    <n v="3387"/>
    <s v="Tiago Nunes"/>
    <x v="1"/>
    <d v="2024-07-31T00:00:00"/>
    <x v="1"/>
    <n v="5"/>
    <x v="0"/>
    <s v="No"/>
    <x v="1"/>
    <s v="No"/>
    <n v="0"/>
    <n v="1"/>
    <n v="4"/>
  </r>
  <r>
    <n v="3388"/>
    <s v="Ulysses Pereira"/>
    <x v="0"/>
    <d v="2024-08-01T00:00:00"/>
    <x v="0"/>
    <n v="15"/>
    <x v="1"/>
    <s v="Yes"/>
    <x v="0"/>
    <s v="Yes"/>
    <n v="20"/>
    <n v="3"/>
    <n v="62"/>
  </r>
  <r>
    <n v="3389"/>
    <s v="Vanessa Lima"/>
    <x v="2"/>
    <d v="2024-08-02T00:00:00"/>
    <x v="1"/>
    <n v="10"/>
    <x v="0"/>
    <s v="No"/>
    <x v="1"/>
    <s v="Yes"/>
    <n v="20"/>
    <n v="10"/>
    <n v="20"/>
  </r>
  <r>
    <n v="3390"/>
    <s v="Wagner Santos"/>
    <x v="1"/>
    <d v="2024-08-03T00:00:00"/>
    <x v="0"/>
    <n v="5"/>
    <x v="2"/>
    <s v="No"/>
    <x v="1"/>
    <s v="No"/>
    <n v="0"/>
    <n v="0"/>
    <n v="5"/>
  </r>
  <r>
    <n v="3391"/>
    <s v="Xuxa Meneghel"/>
    <x v="0"/>
    <d v="2024-08-04T00:00:00"/>
    <x v="1"/>
    <n v="15"/>
    <x v="0"/>
    <s v="Yes"/>
    <x v="0"/>
    <s v="Yes"/>
    <n v="20"/>
    <n v="15"/>
    <n v="50"/>
  </r>
  <r>
    <n v="3392"/>
    <s v="Yasmin Silva"/>
    <x v="2"/>
    <d v="2024-08-05T00:00:00"/>
    <x v="0"/>
    <n v="10"/>
    <x v="1"/>
    <s v="No"/>
    <x v="1"/>
    <s v="Yes"/>
    <n v="20"/>
    <n v="15"/>
    <n v="15"/>
  </r>
  <r>
    <n v="3393"/>
    <s v="Zacarias de Souza"/>
    <x v="1"/>
    <d v="2024-08-06T00:00:00"/>
    <x v="1"/>
    <n v="5"/>
    <x v="0"/>
    <s v="No"/>
    <x v="1"/>
    <s v="No"/>
    <n v="0"/>
    <n v="1"/>
    <n v="4"/>
  </r>
  <r>
    <n v="3394"/>
    <s v="André Lima"/>
    <x v="0"/>
    <d v="2024-08-07T00:00:00"/>
    <x v="0"/>
    <n v="15"/>
    <x v="2"/>
    <s v="Yes"/>
    <x v="0"/>
    <s v="Yes"/>
    <n v="20"/>
    <n v="7"/>
    <n v="58"/>
  </r>
  <r>
    <n v="3395"/>
    <s v="Bianca Freitas"/>
    <x v="2"/>
    <d v="2024-08-08T00:00:00"/>
    <x v="1"/>
    <n v="10"/>
    <x v="0"/>
    <s v="No"/>
    <x v="1"/>
    <s v="Yes"/>
    <n v="20"/>
    <n v="10"/>
    <n v="20"/>
  </r>
  <r>
    <n v="3396"/>
    <s v="Caio Mendes"/>
    <x v="1"/>
    <d v="2024-08-09T00:00:00"/>
    <x v="0"/>
    <n v="5"/>
    <x v="1"/>
    <s v="No"/>
    <x v="1"/>
    <s v="No"/>
    <n v="0"/>
    <n v="0"/>
    <n v="5"/>
  </r>
  <r>
    <n v="3397"/>
    <s v="Daniela Moura"/>
    <x v="0"/>
    <d v="2024-08-10T00:00:00"/>
    <x v="1"/>
    <n v="15"/>
    <x v="0"/>
    <s v="Yes"/>
    <x v="0"/>
    <s v="Yes"/>
    <n v="20"/>
    <n v="20"/>
    <n v="45"/>
  </r>
  <r>
    <n v="3398"/>
    <s v="Eduardo Costa"/>
    <x v="2"/>
    <d v="2024-08-11T00:00:00"/>
    <x v="0"/>
    <n v="10"/>
    <x v="2"/>
    <s v="No"/>
    <x v="1"/>
    <s v="Yes"/>
    <n v="20"/>
    <n v="15"/>
    <n v="15"/>
  </r>
  <r>
    <n v="3399"/>
    <s v="Fernanda Gomes"/>
    <x v="1"/>
    <d v="2024-08-12T00:00:00"/>
    <x v="1"/>
    <n v="5"/>
    <x v="0"/>
    <s v="No"/>
    <x v="1"/>
    <s v="No"/>
    <n v="0"/>
    <n v="1"/>
    <n v="4"/>
  </r>
  <r>
    <n v="3400"/>
    <s v="Guilherme Souza"/>
    <x v="0"/>
    <d v="2024-08-13T00:00:00"/>
    <x v="0"/>
    <n v="15"/>
    <x v="1"/>
    <s v="Yes"/>
    <x v="0"/>
    <s v="Yes"/>
    <n v="20"/>
    <n v="5"/>
    <n v="60"/>
  </r>
  <r>
    <n v="3401"/>
    <s v="Helena Ribeiro"/>
    <x v="2"/>
    <d v="2024-08-14T00:00:00"/>
    <x v="1"/>
    <n v="10"/>
    <x v="0"/>
    <s v="No"/>
    <x v="1"/>
    <s v="Yes"/>
    <n v="20"/>
    <n v="10"/>
    <n v="20"/>
  </r>
  <r>
    <n v="3402"/>
    <s v="Igor Santos"/>
    <x v="1"/>
    <d v="2024-08-15T00:00:00"/>
    <x v="0"/>
    <n v="5"/>
    <x v="2"/>
    <s v="No"/>
    <x v="1"/>
    <s v="No"/>
    <n v="0"/>
    <n v="0"/>
    <n v="5"/>
  </r>
  <r>
    <n v="3403"/>
    <s v="João Carvalho"/>
    <x v="0"/>
    <d v="2024-08-16T00:00:00"/>
    <x v="1"/>
    <n v="15"/>
    <x v="0"/>
    <s v="Yes"/>
    <x v="0"/>
    <s v="Yes"/>
    <n v="20"/>
    <n v="3"/>
    <n v="62"/>
  </r>
  <r>
    <n v="3404"/>
    <s v="Klara Fagundes"/>
    <x v="2"/>
    <d v="2024-08-17T00:00:00"/>
    <x v="0"/>
    <n v="10"/>
    <x v="1"/>
    <s v="No"/>
    <x v="1"/>
    <s v="Yes"/>
    <n v="20"/>
    <n v="15"/>
    <n v="15"/>
  </r>
  <r>
    <n v="3405"/>
    <s v="Lúcia Mendonça"/>
    <x v="1"/>
    <d v="2024-08-18T00:00:00"/>
    <x v="1"/>
    <n v="5"/>
    <x v="0"/>
    <s v="No"/>
    <x v="1"/>
    <s v="No"/>
    <n v="0"/>
    <n v="1"/>
    <n v="4"/>
  </r>
  <r>
    <n v="3406"/>
    <s v="Marcelo Novaes"/>
    <x v="1"/>
    <d v="2024-08-19T00:00:00"/>
    <x v="0"/>
    <n v="5"/>
    <x v="0"/>
    <s v="No"/>
    <x v="1"/>
    <s v="No"/>
    <n v="0"/>
    <n v="0"/>
    <n v="5"/>
  </r>
  <r>
    <n v="3407"/>
    <s v="Nina Pacheco"/>
    <x v="0"/>
    <d v="2024-08-20T00:00:00"/>
    <x v="1"/>
    <n v="15"/>
    <x v="2"/>
    <s v="Yes"/>
    <x v="0"/>
    <s v="Yes"/>
    <n v="20"/>
    <n v="7"/>
    <n v="58"/>
  </r>
  <r>
    <n v="3408"/>
    <s v="Olívia Rios"/>
    <x v="2"/>
    <d v="2024-08-21T00:00:00"/>
    <x v="0"/>
    <n v="10"/>
    <x v="1"/>
    <s v="No"/>
    <x v="1"/>
    <s v="Yes"/>
    <n v="20"/>
    <n v="10"/>
    <n v="20"/>
  </r>
  <r>
    <n v="3409"/>
    <s v="Paulo Quintana"/>
    <x v="1"/>
    <d v="2024-08-22T00:00:00"/>
    <x v="1"/>
    <n v="5"/>
    <x v="2"/>
    <s v="No"/>
    <x v="1"/>
    <s v="No"/>
    <n v="0"/>
    <n v="1"/>
    <n v="4"/>
  </r>
  <r>
    <n v="3410"/>
    <s v="Raquel Domingos"/>
    <x v="0"/>
    <d v="2024-08-23T00:00:00"/>
    <x v="0"/>
    <n v="15"/>
    <x v="0"/>
    <s v="Yes"/>
    <x v="0"/>
    <s v="Yes"/>
    <n v="20"/>
    <n v="15"/>
    <n v="50"/>
  </r>
  <r>
    <n v="3411"/>
    <s v="Samuel Viana"/>
    <x v="2"/>
    <d v="2024-08-24T00:00:00"/>
    <x v="1"/>
    <n v="10"/>
    <x v="0"/>
    <s v="No"/>
    <x v="1"/>
    <s v="Yes"/>
    <n v="20"/>
    <n v="5"/>
    <n v="25"/>
  </r>
  <r>
    <n v="3412"/>
    <s v="Tatiane Rocha"/>
    <x v="1"/>
    <d v="2024-08-25T00:00:00"/>
    <x v="0"/>
    <n v="5"/>
    <x v="1"/>
    <s v="No"/>
    <x v="1"/>
    <s v="No"/>
    <n v="0"/>
    <n v="0"/>
    <n v="5"/>
  </r>
  <r>
    <n v="3413"/>
    <s v="Ulysses Farias"/>
    <x v="0"/>
    <d v="2024-08-26T00:00:00"/>
    <x v="1"/>
    <n v="15"/>
    <x v="2"/>
    <s v="Yes"/>
    <x v="0"/>
    <s v="Yes"/>
    <n v="20"/>
    <n v="20"/>
    <n v="45"/>
  </r>
  <r>
    <n v="3414"/>
    <s v="Vanessa Moreira"/>
    <x v="2"/>
    <d v="2024-08-27T00:00:00"/>
    <x v="0"/>
    <n v="10"/>
    <x v="2"/>
    <s v="No"/>
    <x v="1"/>
    <s v="Yes"/>
    <n v="20"/>
    <n v="12"/>
    <n v="18"/>
  </r>
  <r>
    <n v="3415"/>
    <s v="William Carvalho"/>
    <x v="1"/>
    <d v="2024-08-28T00:00:00"/>
    <x v="1"/>
    <n v="5"/>
    <x v="0"/>
    <s v="No"/>
    <x v="1"/>
    <s v="No"/>
    <n v="0"/>
    <n v="2"/>
    <n v="3"/>
  </r>
  <r>
    <n v="3416"/>
    <s v="Ximena Barros"/>
    <x v="0"/>
    <d v="2024-08-29T00:00:00"/>
    <x v="0"/>
    <n v="15"/>
    <x v="1"/>
    <s v="Yes"/>
    <x v="0"/>
    <s v="Yes"/>
    <n v="20"/>
    <n v="5"/>
    <n v="60"/>
  </r>
  <r>
    <n v="3417"/>
    <s v="Yara Machado"/>
    <x v="2"/>
    <d v="2024-08-30T00:00:00"/>
    <x v="1"/>
    <n v="10"/>
    <x v="0"/>
    <s v="No"/>
    <x v="1"/>
    <s v="Yes"/>
    <n v="20"/>
    <n v="10"/>
    <n v="20"/>
  </r>
  <r>
    <n v="3418"/>
    <s v="Zacarias Costa"/>
    <x v="1"/>
    <d v="2024-08-31T00:00:00"/>
    <x v="0"/>
    <n v="5"/>
    <x v="2"/>
    <s v="No"/>
    <x v="1"/>
    <s v="No"/>
    <n v="0"/>
    <n v="0"/>
    <n v="5"/>
  </r>
  <r>
    <n v="3419"/>
    <s v="André Lopes"/>
    <x v="0"/>
    <d v="2024-09-01T00:00:00"/>
    <x v="1"/>
    <n v="15"/>
    <x v="0"/>
    <s v="Yes"/>
    <x v="0"/>
    <s v="Yes"/>
    <n v="20"/>
    <n v="3"/>
    <n v="62"/>
  </r>
  <r>
    <n v="3420"/>
    <s v="Beatriz Souza"/>
    <x v="2"/>
    <d v="2024-09-02T00:00:00"/>
    <x v="0"/>
    <n v="10"/>
    <x v="1"/>
    <s v="No"/>
    <x v="1"/>
    <s v="Yes"/>
    <n v="20"/>
    <n v="15"/>
    <n v="15"/>
  </r>
  <r>
    <n v="3421"/>
    <s v="Caio Pereira"/>
    <x v="1"/>
    <d v="2024-09-03T00:00:00"/>
    <x v="1"/>
    <n v="5"/>
    <x v="0"/>
    <s v="No"/>
    <x v="1"/>
    <s v="No"/>
    <n v="0"/>
    <n v="1"/>
    <n v="4"/>
  </r>
  <r>
    <n v="3422"/>
    <s v="Daniela Araújo"/>
    <x v="0"/>
    <d v="2024-09-04T00:00:00"/>
    <x v="0"/>
    <n v="15"/>
    <x v="2"/>
    <s v="Yes"/>
    <x v="0"/>
    <s v="Yes"/>
    <n v="20"/>
    <n v="7"/>
    <n v="58"/>
  </r>
  <r>
    <n v="3423"/>
    <s v="Eduardo Santos"/>
    <x v="2"/>
    <d v="2024-09-05T00:00:00"/>
    <x v="1"/>
    <n v="10"/>
    <x v="0"/>
    <s v="No"/>
    <x v="1"/>
    <s v="Yes"/>
    <n v="20"/>
    <n v="10"/>
    <n v="20"/>
  </r>
  <r>
    <n v="3424"/>
    <s v="Fernanda Lima"/>
    <x v="1"/>
    <d v="2024-09-06T00:00:00"/>
    <x v="0"/>
    <n v="5"/>
    <x v="1"/>
    <s v="No"/>
    <x v="1"/>
    <s v="No"/>
    <n v="0"/>
    <n v="0"/>
    <n v="5"/>
  </r>
  <r>
    <n v="3425"/>
    <s v="Gabriel Teixeira"/>
    <x v="0"/>
    <d v="2024-09-07T00:00:00"/>
    <x v="1"/>
    <n v="15"/>
    <x v="0"/>
    <s v="Yes"/>
    <x v="0"/>
    <s v="Yes"/>
    <n v="20"/>
    <n v="20"/>
    <n v="45"/>
  </r>
  <r>
    <n v="3426"/>
    <s v="Helena Ribeiro"/>
    <x v="2"/>
    <d v="2024-09-08T00:00:00"/>
    <x v="0"/>
    <n v="10"/>
    <x v="2"/>
    <s v="No"/>
    <x v="1"/>
    <s v="Yes"/>
    <n v="20"/>
    <n v="15"/>
    <n v="15"/>
  </r>
  <r>
    <n v="3427"/>
    <s v="Igor Mendes"/>
    <x v="1"/>
    <d v="2024-09-09T00:00:00"/>
    <x v="1"/>
    <n v="5"/>
    <x v="0"/>
    <s v="No"/>
    <x v="1"/>
    <s v="No"/>
    <n v="0"/>
    <n v="1"/>
    <n v="4"/>
  </r>
  <r>
    <n v="3428"/>
    <s v="Joana Silveira"/>
    <x v="0"/>
    <d v="2024-09-10T00:00:00"/>
    <x v="0"/>
    <n v="15"/>
    <x v="1"/>
    <s v="Yes"/>
    <x v="0"/>
    <s v="Yes"/>
    <n v="20"/>
    <n v="3"/>
    <n v="62"/>
  </r>
  <r>
    <n v="3429"/>
    <s v="Lucas Martins"/>
    <x v="2"/>
    <d v="2024-09-11T00:00:00"/>
    <x v="1"/>
    <n v="10"/>
    <x v="0"/>
    <s v="No"/>
    <x v="1"/>
    <s v="Yes"/>
    <n v="20"/>
    <n v="10"/>
    <n v="20"/>
  </r>
  <r>
    <n v="3430"/>
    <s v="Marcela Gouveia"/>
    <x v="1"/>
    <d v="2024-09-12T00:00:00"/>
    <x v="0"/>
    <n v="5"/>
    <x v="2"/>
    <s v="No"/>
    <x v="1"/>
    <s v="No"/>
    <n v="0"/>
    <n v="0"/>
    <n v="5"/>
  </r>
  <r>
    <n v="3431"/>
    <s v="Nicolas Borges"/>
    <x v="0"/>
    <d v="2024-09-13T00:00:00"/>
    <x v="1"/>
    <n v="15"/>
    <x v="0"/>
    <s v="Yes"/>
    <x v="0"/>
    <s v="Yes"/>
    <n v="20"/>
    <n v="15"/>
    <n v="50"/>
  </r>
  <r>
    <n v="3432"/>
    <s v="Olivia Freitas"/>
    <x v="2"/>
    <d v="2024-09-14T00:00:00"/>
    <x v="0"/>
    <n v="10"/>
    <x v="1"/>
    <s v="No"/>
    <x v="1"/>
    <s v="Yes"/>
    <n v="20"/>
    <n v="15"/>
    <n v="15"/>
  </r>
  <r>
    <n v="3433"/>
    <s v="Paulo Nogueira"/>
    <x v="1"/>
    <d v="2024-09-15T00:00:00"/>
    <x v="1"/>
    <n v="5"/>
    <x v="0"/>
    <s v="No"/>
    <x v="1"/>
    <s v="No"/>
    <n v="0"/>
    <n v="1"/>
    <n v="4"/>
  </r>
  <r>
    <n v="3434"/>
    <s v="Raquel Andrade"/>
    <x v="0"/>
    <d v="2024-09-16T00:00:00"/>
    <x v="0"/>
    <n v="15"/>
    <x v="2"/>
    <s v="Yes"/>
    <x v="0"/>
    <s v="Yes"/>
    <n v="20"/>
    <n v="7"/>
    <n v="58"/>
  </r>
  <r>
    <n v="3435"/>
    <s v="Sônia Carvalho"/>
    <x v="2"/>
    <d v="2024-09-17T00:00:00"/>
    <x v="1"/>
    <n v="10"/>
    <x v="0"/>
    <s v="No"/>
    <x v="1"/>
    <s v="Yes"/>
    <n v="20"/>
    <n v="10"/>
    <n v="20"/>
  </r>
  <r>
    <n v="3436"/>
    <s v="Tiago Rodrigues"/>
    <x v="1"/>
    <d v="2024-09-18T00:00:00"/>
    <x v="0"/>
    <n v="5"/>
    <x v="0"/>
    <s v="No"/>
    <x v="1"/>
    <s v="No"/>
    <n v="0"/>
    <n v="0"/>
    <n v="5"/>
  </r>
  <r>
    <n v="3437"/>
    <s v="Ursula Monteiro"/>
    <x v="0"/>
    <d v="2024-09-19T00:00:00"/>
    <x v="1"/>
    <n v="15"/>
    <x v="2"/>
    <s v="Yes"/>
    <x v="0"/>
    <s v="Yes"/>
    <n v="20"/>
    <n v="7"/>
    <n v="58"/>
  </r>
  <r>
    <n v="3438"/>
    <s v="Vanessa Pereira"/>
    <x v="2"/>
    <d v="2024-09-20T00:00:00"/>
    <x v="0"/>
    <n v="10"/>
    <x v="1"/>
    <s v="No"/>
    <x v="1"/>
    <s v="Yes"/>
    <n v="20"/>
    <n v="10"/>
    <n v="20"/>
  </r>
  <r>
    <n v="3439"/>
    <s v="Walter Silva"/>
    <x v="1"/>
    <d v="2024-09-21T00:00:00"/>
    <x v="1"/>
    <n v="5"/>
    <x v="2"/>
    <s v="No"/>
    <x v="1"/>
    <s v="No"/>
    <n v="0"/>
    <n v="1"/>
    <n v="4"/>
  </r>
  <r>
    <n v="3440"/>
    <s v="Xavier Almeida"/>
    <x v="0"/>
    <d v="2024-09-22T00:00:00"/>
    <x v="0"/>
    <n v="15"/>
    <x v="0"/>
    <s v="Yes"/>
    <x v="0"/>
    <s v="Yes"/>
    <n v="20"/>
    <n v="15"/>
    <n v="50"/>
  </r>
  <r>
    <n v="3441"/>
    <s v="Yasmine Correia"/>
    <x v="2"/>
    <d v="2024-09-23T00:00:00"/>
    <x v="1"/>
    <n v="10"/>
    <x v="0"/>
    <s v="No"/>
    <x v="1"/>
    <s v="Yes"/>
    <n v="20"/>
    <n v="5"/>
    <n v="25"/>
  </r>
  <r>
    <n v="3442"/>
    <s v="Zacarias Almeida"/>
    <x v="1"/>
    <d v="2024-09-24T00:00:00"/>
    <x v="0"/>
    <n v="5"/>
    <x v="1"/>
    <s v="No"/>
    <x v="1"/>
    <s v="No"/>
    <n v="0"/>
    <n v="0"/>
    <n v="5"/>
  </r>
  <r>
    <n v="3443"/>
    <s v="Amanda Costa"/>
    <x v="0"/>
    <d v="2024-09-25T00:00:00"/>
    <x v="1"/>
    <n v="15"/>
    <x v="2"/>
    <s v="Yes"/>
    <x v="0"/>
    <s v="Yes"/>
    <n v="20"/>
    <n v="20"/>
    <n v="45"/>
  </r>
  <r>
    <n v="3444"/>
    <s v="Bruno Ferreira"/>
    <x v="2"/>
    <d v="2024-09-26T00:00:00"/>
    <x v="0"/>
    <n v="10"/>
    <x v="2"/>
    <s v="No"/>
    <x v="1"/>
    <s v="Yes"/>
    <n v="20"/>
    <n v="12"/>
    <n v="18"/>
  </r>
  <r>
    <n v="3445"/>
    <s v="Carla Dias"/>
    <x v="1"/>
    <d v="2024-09-27T00:00:00"/>
    <x v="1"/>
    <n v="5"/>
    <x v="0"/>
    <s v="No"/>
    <x v="1"/>
    <s v="No"/>
    <n v="0"/>
    <n v="2"/>
    <n v="3"/>
  </r>
  <r>
    <n v="3446"/>
    <s v="Diogo Martins"/>
    <x v="0"/>
    <d v="2024-09-28T00:00:00"/>
    <x v="0"/>
    <n v="15"/>
    <x v="1"/>
    <s v="Yes"/>
    <x v="0"/>
    <s v="Yes"/>
    <n v="20"/>
    <n v="5"/>
    <n v="60"/>
  </r>
  <r>
    <n v="3447"/>
    <s v="Elisa Campos"/>
    <x v="2"/>
    <d v="2024-09-29T00:00:00"/>
    <x v="1"/>
    <n v="10"/>
    <x v="0"/>
    <s v="No"/>
    <x v="1"/>
    <s v="Yes"/>
    <n v="20"/>
    <n v="10"/>
    <n v="20"/>
  </r>
  <r>
    <n v="3448"/>
    <s v="Fabiana Lima"/>
    <x v="1"/>
    <d v="2024-09-30T00:00:00"/>
    <x v="0"/>
    <n v="5"/>
    <x v="2"/>
    <s v="No"/>
    <x v="1"/>
    <s v="No"/>
    <n v="0"/>
    <n v="0"/>
    <n v="5"/>
  </r>
  <r>
    <n v="3449"/>
    <s v="Gabriel Santos"/>
    <x v="0"/>
    <d v="2024-10-01T00:00:00"/>
    <x v="1"/>
    <n v="15"/>
    <x v="0"/>
    <s v="Yes"/>
    <x v="0"/>
    <s v="Yes"/>
    <n v="20"/>
    <n v="3"/>
    <n v="62"/>
  </r>
  <r>
    <n v="3450"/>
    <s v="Helena Ferreira"/>
    <x v="2"/>
    <d v="2024-10-02T00:00:00"/>
    <x v="0"/>
    <n v="10"/>
    <x v="1"/>
    <s v="No"/>
    <x v="1"/>
    <s v="Yes"/>
    <n v="20"/>
    <n v="15"/>
    <n v="15"/>
  </r>
  <r>
    <n v="3451"/>
    <s v="Ígor Nunes"/>
    <x v="1"/>
    <d v="2024-10-03T00:00:00"/>
    <x v="1"/>
    <n v="5"/>
    <x v="0"/>
    <s v="No"/>
    <x v="1"/>
    <s v="No"/>
    <n v="0"/>
    <n v="1"/>
    <n v="4"/>
  </r>
  <r>
    <n v="3452"/>
    <s v="Joana Silveira"/>
    <x v="0"/>
    <d v="2024-10-04T00:00:00"/>
    <x v="0"/>
    <n v="15"/>
    <x v="2"/>
    <s v="Yes"/>
    <x v="0"/>
    <s v="Yes"/>
    <n v="20"/>
    <n v="7"/>
    <n v="58"/>
  </r>
  <r>
    <n v="3453"/>
    <s v="Kléber Oliveira"/>
    <x v="2"/>
    <d v="2024-10-05T00:00:00"/>
    <x v="1"/>
    <n v="10"/>
    <x v="0"/>
    <s v="No"/>
    <x v="1"/>
    <s v="Yes"/>
    <n v="20"/>
    <n v="10"/>
    <n v="20"/>
  </r>
  <r>
    <n v="3454"/>
    <s v="Luciana Morais"/>
    <x v="1"/>
    <d v="2024-10-06T00:00:00"/>
    <x v="0"/>
    <n v="5"/>
    <x v="1"/>
    <s v="No"/>
    <x v="1"/>
    <s v="No"/>
    <n v="0"/>
    <n v="0"/>
    <n v="5"/>
  </r>
  <r>
    <n v="3455"/>
    <s v="Marcos Vinícius"/>
    <x v="0"/>
    <d v="2024-10-07T00:00:00"/>
    <x v="1"/>
    <n v="15"/>
    <x v="0"/>
    <s v="Yes"/>
    <x v="0"/>
    <s v="Yes"/>
    <n v="20"/>
    <n v="20"/>
    <n v="45"/>
  </r>
  <r>
    <n v="3456"/>
    <s v="Natália Barros"/>
    <x v="2"/>
    <d v="2024-10-08T00:00:00"/>
    <x v="0"/>
    <n v="10"/>
    <x v="2"/>
    <s v="No"/>
    <x v="1"/>
    <s v="Yes"/>
    <n v="20"/>
    <n v="15"/>
    <n v="15"/>
  </r>
  <r>
    <n v="3457"/>
    <s v="Oscar Sampaio"/>
    <x v="1"/>
    <d v="2024-10-09T00:00:00"/>
    <x v="1"/>
    <n v="5"/>
    <x v="0"/>
    <s v="No"/>
    <x v="1"/>
    <s v="No"/>
    <n v="0"/>
    <n v="1"/>
    <n v="4"/>
  </r>
  <r>
    <n v="3458"/>
    <s v="Patrícia Leite"/>
    <x v="0"/>
    <d v="2024-10-10T00:00:00"/>
    <x v="0"/>
    <n v="15"/>
    <x v="1"/>
    <s v="Yes"/>
    <x v="0"/>
    <s v="Yes"/>
    <n v="20"/>
    <n v="3"/>
    <n v="62"/>
  </r>
  <r>
    <n v="3459"/>
    <s v="Quênia Rocha"/>
    <x v="2"/>
    <d v="2024-10-11T00:00:00"/>
    <x v="1"/>
    <n v="10"/>
    <x v="0"/>
    <s v="No"/>
    <x v="1"/>
    <s v="Yes"/>
    <n v="20"/>
    <n v="10"/>
    <n v="20"/>
  </r>
  <r>
    <n v="3460"/>
    <s v="Rafael Torres"/>
    <x v="1"/>
    <d v="2024-10-12T00:00:00"/>
    <x v="0"/>
    <n v="5"/>
    <x v="2"/>
    <s v="No"/>
    <x v="1"/>
    <s v="No"/>
    <n v="0"/>
    <n v="0"/>
    <n v="5"/>
  </r>
  <r>
    <n v="3461"/>
    <s v="Sandra Gouveia"/>
    <x v="0"/>
    <d v="2024-10-13T00:00:00"/>
    <x v="1"/>
    <n v="15"/>
    <x v="0"/>
    <s v="Yes"/>
    <x v="0"/>
    <s v="Yes"/>
    <n v="20"/>
    <n v="15"/>
    <n v="50"/>
  </r>
  <r>
    <n v="3462"/>
    <s v="Tiago Lacerda"/>
    <x v="2"/>
    <d v="2024-10-14T00:00:00"/>
    <x v="0"/>
    <n v="10"/>
    <x v="1"/>
    <s v="No"/>
    <x v="1"/>
    <s v="Yes"/>
    <n v="20"/>
    <n v="15"/>
    <n v="15"/>
  </r>
  <r>
    <n v="3463"/>
    <s v="Ursula Fonseca"/>
    <x v="1"/>
    <d v="2024-10-15T00:00:00"/>
    <x v="1"/>
    <n v="5"/>
    <x v="0"/>
    <s v="No"/>
    <x v="1"/>
    <s v="No"/>
    <n v="0"/>
    <n v="1"/>
    <n v="4"/>
  </r>
  <r>
    <n v="3464"/>
    <s v="Vanessa Andrade"/>
    <x v="0"/>
    <d v="2024-10-16T00:00:00"/>
    <x v="0"/>
    <n v="15"/>
    <x v="2"/>
    <s v="Yes"/>
    <x v="0"/>
    <s v="Yes"/>
    <n v="20"/>
    <n v="7"/>
    <n v="58"/>
  </r>
  <r>
    <n v="3465"/>
    <s v="William Castro"/>
    <x v="2"/>
    <d v="2024-10-17T00:00:00"/>
    <x v="1"/>
    <n v="10"/>
    <x v="0"/>
    <s v="No"/>
    <x v="1"/>
    <s v="Yes"/>
    <n v="20"/>
    <n v="10"/>
    <n v="20"/>
  </r>
  <r>
    <n v="3466"/>
    <s v="Xavier Monteiro"/>
    <x v="1"/>
    <d v="2024-10-18T00:00:00"/>
    <x v="0"/>
    <n v="5"/>
    <x v="1"/>
    <s v="No"/>
    <x v="1"/>
    <s v="No"/>
    <n v="0"/>
    <n v="0"/>
    <n v="5"/>
  </r>
  <r>
    <n v="3467"/>
    <s v="Yasmin Figueira"/>
    <x v="0"/>
    <d v="2024-10-19T00:00:00"/>
    <x v="1"/>
    <n v="15"/>
    <x v="0"/>
    <s v="Yes"/>
    <x v="0"/>
    <s v="Yes"/>
    <n v="20"/>
    <n v="15"/>
    <n v="50"/>
  </r>
  <r>
    <n v="3468"/>
    <s v="Zacarias Mendonça"/>
    <x v="2"/>
    <d v="2024-10-20T00:00:00"/>
    <x v="0"/>
    <n v="10"/>
    <x v="2"/>
    <s v="No"/>
    <x v="1"/>
    <s v="Yes"/>
    <n v="20"/>
    <n v="12"/>
    <n v="18"/>
  </r>
  <r>
    <n v="3469"/>
    <s v="Amanda Menezes"/>
    <x v="1"/>
    <d v="2024-10-21T00:00:00"/>
    <x v="1"/>
    <n v="5"/>
    <x v="0"/>
    <s v="No"/>
    <x v="1"/>
    <s v="No"/>
    <n v="0"/>
    <n v="2"/>
    <n v="3"/>
  </r>
  <r>
    <n v="3470"/>
    <s v="Bruno Santos"/>
    <x v="0"/>
    <d v="2024-10-22T00:00:00"/>
    <x v="0"/>
    <n v="15"/>
    <x v="1"/>
    <s v="Yes"/>
    <x v="0"/>
    <s v="Yes"/>
    <n v="20"/>
    <n v="5"/>
    <n v="60"/>
  </r>
  <r>
    <n v="3471"/>
    <s v="Carla Ferreira"/>
    <x v="2"/>
    <d v="2024-10-23T00:00:00"/>
    <x v="1"/>
    <n v="10"/>
    <x v="0"/>
    <s v="No"/>
    <x v="1"/>
    <s v="Yes"/>
    <n v="20"/>
    <n v="10"/>
    <n v="20"/>
  </r>
  <r>
    <n v="3472"/>
    <s v="Diogo Alves"/>
    <x v="1"/>
    <d v="2024-10-24T00:00:00"/>
    <x v="0"/>
    <n v="5"/>
    <x v="2"/>
    <s v="No"/>
    <x v="1"/>
    <s v="No"/>
    <n v="0"/>
    <n v="0"/>
    <n v="5"/>
  </r>
  <r>
    <n v="3473"/>
    <s v="Elisa Neves"/>
    <x v="0"/>
    <d v="2024-10-25T00:00:00"/>
    <x v="1"/>
    <n v="15"/>
    <x v="0"/>
    <s v="Yes"/>
    <x v="0"/>
    <s v="Yes"/>
    <n v="20"/>
    <n v="3"/>
    <n v="62"/>
  </r>
  <r>
    <n v="3474"/>
    <s v="Fabiano Pires"/>
    <x v="2"/>
    <d v="2024-10-26T00:00:00"/>
    <x v="0"/>
    <n v="10"/>
    <x v="1"/>
    <s v="No"/>
    <x v="1"/>
    <s v="Yes"/>
    <n v="20"/>
    <n v="15"/>
    <n v="15"/>
  </r>
  <r>
    <n v="3475"/>
    <s v="Giovana Ribeiro"/>
    <x v="1"/>
    <d v="2024-10-27T00:00:00"/>
    <x v="1"/>
    <n v="5"/>
    <x v="0"/>
    <s v="No"/>
    <x v="1"/>
    <s v="No"/>
    <n v="0"/>
    <n v="1"/>
    <n v="4"/>
  </r>
  <r>
    <n v="3476"/>
    <s v="Hélio Costa"/>
    <x v="0"/>
    <d v="2024-10-28T00:00:00"/>
    <x v="0"/>
    <n v="15"/>
    <x v="2"/>
    <s v="Yes"/>
    <x v="0"/>
    <s v="Yes"/>
    <n v="20"/>
    <n v="7"/>
    <n v="58"/>
  </r>
  <r>
    <n v="3477"/>
    <s v="Íris Loureiro"/>
    <x v="2"/>
    <d v="2024-10-29T00:00:00"/>
    <x v="1"/>
    <n v="10"/>
    <x v="0"/>
    <s v="No"/>
    <x v="1"/>
    <s v="Yes"/>
    <n v="20"/>
    <n v="10"/>
    <n v="20"/>
  </r>
  <r>
    <n v="3478"/>
    <s v="João Pereira"/>
    <x v="1"/>
    <d v="2024-10-30T00:00:00"/>
    <x v="0"/>
    <n v="5"/>
    <x v="1"/>
    <s v="No"/>
    <x v="1"/>
    <s v="No"/>
    <n v="0"/>
    <n v="0"/>
    <n v="5"/>
  </r>
  <r>
    <n v="3479"/>
    <s v="Klara Silva"/>
    <x v="0"/>
    <d v="2024-10-31T00:00:00"/>
    <x v="1"/>
    <n v="15"/>
    <x v="0"/>
    <s v="Yes"/>
    <x v="0"/>
    <s v="Yes"/>
    <n v="20"/>
    <n v="20"/>
    <n v="45"/>
  </r>
  <r>
    <n v="3480"/>
    <s v="Luciana Barros"/>
    <x v="2"/>
    <d v="2024-11-01T00:00:00"/>
    <x v="0"/>
    <n v="10"/>
    <x v="2"/>
    <s v="No"/>
    <x v="1"/>
    <s v="Yes"/>
    <n v="20"/>
    <n v="15"/>
    <n v="15"/>
  </r>
  <r>
    <n v="3481"/>
    <s v="Marcos Gomes"/>
    <x v="1"/>
    <d v="2024-11-02T00:00:00"/>
    <x v="1"/>
    <n v="5"/>
    <x v="0"/>
    <s v="No"/>
    <x v="1"/>
    <s v="No"/>
    <n v="0"/>
    <n v="1"/>
    <n v="4"/>
  </r>
  <r>
    <n v="3482"/>
    <s v="Natália Soares"/>
    <x v="0"/>
    <d v="2024-11-03T00:00:00"/>
    <x v="0"/>
    <n v="15"/>
    <x v="1"/>
    <s v="Yes"/>
    <x v="0"/>
    <s v="Yes"/>
    <n v="20"/>
    <n v="3"/>
    <n v="62"/>
  </r>
  <r>
    <n v="3483"/>
    <s v="Oscar Machado"/>
    <x v="2"/>
    <d v="2024-11-04T00:00:00"/>
    <x v="1"/>
    <n v="10"/>
    <x v="0"/>
    <s v="No"/>
    <x v="1"/>
    <s v="Yes"/>
    <n v="20"/>
    <n v="10"/>
    <n v="20"/>
  </r>
  <r>
    <n v="3484"/>
    <s v="Patrícia Lima"/>
    <x v="1"/>
    <d v="2024-11-05T00:00:00"/>
    <x v="0"/>
    <n v="5"/>
    <x v="2"/>
    <s v="No"/>
    <x v="1"/>
    <s v="No"/>
    <n v="0"/>
    <n v="0"/>
    <n v="5"/>
  </r>
  <r>
    <n v="3485"/>
    <s v="Quirino Neto"/>
    <x v="0"/>
    <d v="2024-11-06T00:00:00"/>
    <x v="1"/>
    <n v="15"/>
    <x v="0"/>
    <s v="Yes"/>
    <x v="0"/>
    <s v="Yes"/>
    <n v="20"/>
    <n v="15"/>
    <n v="50"/>
  </r>
  <r>
    <n v="3486"/>
    <s v="Rafaela Souza"/>
    <x v="1"/>
    <d v="2024-11-07T00:00:00"/>
    <x v="0"/>
    <n v="5"/>
    <x v="0"/>
    <s v="No"/>
    <x v="1"/>
    <s v="No"/>
    <n v="0"/>
    <n v="0"/>
    <n v="5"/>
  </r>
  <r>
    <n v="3487"/>
    <s v="Sandro Almeida"/>
    <x v="0"/>
    <d v="2024-11-08T00:00:00"/>
    <x v="1"/>
    <n v="15"/>
    <x v="2"/>
    <s v="Yes"/>
    <x v="0"/>
    <s v="Yes"/>
    <n v="20"/>
    <n v="7"/>
    <n v="58"/>
  </r>
  <r>
    <n v="3488"/>
    <s v="Tânia Ribeiro"/>
    <x v="2"/>
    <d v="2024-11-09T00:00:00"/>
    <x v="0"/>
    <n v="10"/>
    <x v="1"/>
    <s v="No"/>
    <x v="1"/>
    <s v="Yes"/>
    <n v="20"/>
    <n v="10"/>
    <n v="20"/>
  </r>
  <r>
    <n v="3489"/>
    <s v="Ugo Dias"/>
    <x v="1"/>
    <d v="2024-11-10T00:00:00"/>
    <x v="1"/>
    <n v="5"/>
    <x v="2"/>
    <s v="No"/>
    <x v="1"/>
    <s v="No"/>
    <n v="0"/>
    <n v="1"/>
    <n v="4"/>
  </r>
  <r>
    <n v="3490"/>
    <s v="Valéria Lima"/>
    <x v="0"/>
    <d v="2024-11-11T00:00:00"/>
    <x v="0"/>
    <n v="15"/>
    <x v="0"/>
    <s v="Yes"/>
    <x v="0"/>
    <s v="Yes"/>
    <n v="20"/>
    <n v="15"/>
    <n v="50"/>
  </r>
  <r>
    <n v="3491"/>
    <s v="William Fernandes"/>
    <x v="2"/>
    <d v="2024-11-12T00:00:00"/>
    <x v="1"/>
    <n v="10"/>
    <x v="0"/>
    <s v="No"/>
    <x v="1"/>
    <s v="Yes"/>
    <n v="20"/>
    <n v="5"/>
    <n v="25"/>
  </r>
  <r>
    <n v="3492"/>
    <s v="Xuxa Mendes"/>
    <x v="1"/>
    <d v="2024-11-13T00:00:00"/>
    <x v="0"/>
    <n v="5"/>
    <x v="1"/>
    <s v="No"/>
    <x v="1"/>
    <s v="No"/>
    <n v="0"/>
    <n v="0"/>
    <n v="5"/>
  </r>
  <r>
    <n v="3493"/>
    <s v="Ygor Farias"/>
    <x v="0"/>
    <d v="2024-11-14T00:00:00"/>
    <x v="1"/>
    <n v="15"/>
    <x v="2"/>
    <s v="Yes"/>
    <x v="0"/>
    <s v="Yes"/>
    <n v="20"/>
    <n v="20"/>
    <n v="45"/>
  </r>
  <r>
    <n v="3494"/>
    <s v="Zilda Barros"/>
    <x v="2"/>
    <d v="2024-11-15T00:00:00"/>
    <x v="0"/>
    <n v="10"/>
    <x v="2"/>
    <s v="No"/>
    <x v="1"/>
    <s v="Yes"/>
    <n v="20"/>
    <n v="12"/>
    <n v="18"/>
  </r>
  <r>
    <n v="3495"/>
    <s v="Amanda Santos"/>
    <x v="1"/>
    <d v="2024-11-16T00:00:00"/>
    <x v="1"/>
    <n v="5"/>
    <x v="0"/>
    <s v="No"/>
    <x v="1"/>
    <s v="No"/>
    <n v="0"/>
    <n v="2"/>
    <n v="3"/>
  </r>
  <r>
    <n v="3496"/>
    <s v="Bruno Costa"/>
    <x v="0"/>
    <d v="2024-11-17T00:00:00"/>
    <x v="0"/>
    <n v="15"/>
    <x v="1"/>
    <s v="Yes"/>
    <x v="0"/>
    <s v="Yes"/>
    <n v="20"/>
    <n v="5"/>
    <n v="60"/>
  </r>
  <r>
    <n v="3497"/>
    <s v="Carla Rodrigues"/>
    <x v="2"/>
    <d v="2024-11-18T00:00:00"/>
    <x v="1"/>
    <n v="10"/>
    <x v="0"/>
    <s v="No"/>
    <x v="1"/>
    <s v="Yes"/>
    <n v="20"/>
    <n v="10"/>
    <n v="20"/>
  </r>
  <r>
    <n v="3498"/>
    <s v="Diogo Pereira"/>
    <x v="1"/>
    <d v="2024-11-19T00:00:00"/>
    <x v="0"/>
    <n v="5"/>
    <x v="2"/>
    <s v="No"/>
    <x v="1"/>
    <s v="No"/>
    <n v="0"/>
    <n v="0"/>
    <n v="5"/>
  </r>
  <r>
    <n v="3499"/>
    <s v="Elisa Correia"/>
    <x v="0"/>
    <d v="2024-11-20T00:00:00"/>
    <x v="1"/>
    <n v="15"/>
    <x v="0"/>
    <s v="Yes"/>
    <x v="0"/>
    <s v="Yes"/>
    <n v="20"/>
    <n v="3"/>
    <n v="62"/>
  </r>
  <r>
    <n v="3500"/>
    <s v="Fábio Lourenço"/>
    <x v="2"/>
    <d v="2024-11-21T00:00:00"/>
    <x v="0"/>
    <n v="10"/>
    <x v="1"/>
    <s v="No"/>
    <x v="1"/>
    <s v="Yes"/>
    <n v="20"/>
    <n v="15"/>
    <n v="15"/>
  </r>
  <r>
    <n v="3501"/>
    <s v="Gabriela Neves"/>
    <x v="1"/>
    <d v="2024-11-22T00:00:00"/>
    <x v="1"/>
    <n v="5"/>
    <x v="0"/>
    <s v="No"/>
    <x v="1"/>
    <s v="No"/>
    <n v="0"/>
    <n v="1"/>
    <n v="4"/>
  </r>
  <r>
    <n v="3502"/>
    <s v="Henrique Gonçalves"/>
    <x v="0"/>
    <d v="2024-11-23T00:00:00"/>
    <x v="0"/>
    <n v="15"/>
    <x v="2"/>
    <s v="Yes"/>
    <x v="0"/>
    <s v="Yes"/>
    <n v="20"/>
    <n v="7"/>
    <n v="58"/>
  </r>
  <r>
    <n v="3503"/>
    <s v="Íris Santos"/>
    <x v="2"/>
    <d v="2024-11-24T00:00:00"/>
    <x v="1"/>
    <n v="10"/>
    <x v="0"/>
    <s v="No"/>
    <x v="1"/>
    <s v="Yes"/>
    <n v="20"/>
    <n v="10"/>
    <n v="20"/>
  </r>
  <r>
    <n v="3504"/>
    <s v="João Marcelo Alves"/>
    <x v="1"/>
    <d v="2024-11-25T00:00:00"/>
    <x v="0"/>
    <n v="5"/>
    <x v="1"/>
    <s v="No"/>
    <x v="1"/>
    <s v="No"/>
    <n v="0"/>
    <n v="0"/>
    <n v="5"/>
  </r>
  <r>
    <n v="3505"/>
    <s v="Klara Fonseca"/>
    <x v="0"/>
    <d v="2024-11-26T00:00:00"/>
    <x v="1"/>
    <n v="15"/>
    <x v="0"/>
    <s v="Yes"/>
    <x v="0"/>
    <s v="Yes"/>
    <n v="20"/>
    <n v="20"/>
    <n v="45"/>
  </r>
  <r>
    <n v="3506"/>
    <s v="Lucas Mendonça"/>
    <x v="2"/>
    <d v="2024-11-27T00:00:00"/>
    <x v="0"/>
    <n v="10"/>
    <x v="2"/>
    <s v="No"/>
    <x v="1"/>
    <s v="Yes"/>
    <n v="20"/>
    <n v="15"/>
    <n v="15"/>
  </r>
  <r>
    <n v="3507"/>
    <s v="Marcela Torres"/>
    <x v="1"/>
    <d v="2024-11-28T00:00:00"/>
    <x v="1"/>
    <n v="5"/>
    <x v="0"/>
    <s v="No"/>
    <x v="1"/>
    <s v="No"/>
    <n v="0"/>
    <n v="1"/>
    <n v="4"/>
  </r>
  <r>
    <n v="3508"/>
    <s v="Natália Castro"/>
    <x v="0"/>
    <d v="2024-11-29T00:00:00"/>
    <x v="0"/>
    <n v="15"/>
    <x v="1"/>
    <s v="Yes"/>
    <x v="0"/>
    <s v="Yes"/>
    <n v="20"/>
    <n v="3"/>
    <n v="62"/>
  </r>
  <r>
    <n v="3509"/>
    <s v="Oscar Martins"/>
    <x v="2"/>
    <d v="2024-11-30T00:00:00"/>
    <x v="1"/>
    <n v="10"/>
    <x v="0"/>
    <s v="No"/>
    <x v="1"/>
    <s v="Yes"/>
    <n v="20"/>
    <n v="10"/>
    <n v="20"/>
  </r>
  <r>
    <n v="3510"/>
    <s v="Patrícia Oliveira"/>
    <x v="1"/>
    <d v="2024-12-01T00:00:00"/>
    <x v="0"/>
    <n v="5"/>
    <x v="2"/>
    <s v="No"/>
    <x v="1"/>
    <s v="No"/>
    <n v="0"/>
    <n v="0"/>
    <n v="5"/>
  </r>
  <r>
    <n v="3511"/>
    <s v="Quentin Nogueira"/>
    <x v="0"/>
    <d v="2024-12-02T00:00:00"/>
    <x v="1"/>
    <n v="15"/>
    <x v="0"/>
    <s v="Yes"/>
    <x v="0"/>
    <s v="Yes"/>
    <n v="20"/>
    <n v="15"/>
    <n v="50"/>
  </r>
  <r>
    <n v="3512"/>
    <s v="Raquel Silva"/>
    <x v="2"/>
    <d v="2024-12-03T00:00:00"/>
    <x v="0"/>
    <n v="10"/>
    <x v="1"/>
    <s v="No"/>
    <x v="1"/>
    <s v="Yes"/>
    <n v="20"/>
    <n v="15"/>
    <n v="15"/>
  </r>
  <r>
    <n v="3513"/>
    <s v="Sandro Gomes"/>
    <x v="1"/>
    <d v="2024-12-04T00:00:00"/>
    <x v="1"/>
    <n v="5"/>
    <x v="0"/>
    <s v="No"/>
    <x v="1"/>
    <s v="No"/>
    <n v="0"/>
    <n v="1"/>
    <n v="4"/>
  </r>
  <r>
    <n v="3514"/>
    <s v="Tânia Machado"/>
    <x v="0"/>
    <d v="2024-12-05T00:00:00"/>
    <x v="0"/>
    <n v="15"/>
    <x v="2"/>
    <s v="Yes"/>
    <x v="0"/>
    <s v="Yes"/>
    <n v="20"/>
    <n v="7"/>
    <n v="58"/>
  </r>
  <r>
    <n v="3515"/>
    <s v="Ursula Silva"/>
    <x v="2"/>
    <d v="2024-12-06T00:00:00"/>
    <x v="1"/>
    <n v="10"/>
    <x v="0"/>
    <s v="No"/>
    <x v="1"/>
    <s v="Yes"/>
    <n v="20"/>
    <n v="10"/>
    <n v="20"/>
  </r>
  <r>
    <n v="3516"/>
    <s v="Vanessa Moraes"/>
    <x v="1"/>
    <d v="2024-12-07T00:00:00"/>
    <x v="0"/>
    <n v="5"/>
    <x v="1"/>
    <s v="No"/>
    <x v="1"/>
    <s v="No"/>
    <n v="0"/>
    <n v="0"/>
    <n v="5"/>
  </r>
  <r>
    <n v="3517"/>
    <s v="William Carvalho"/>
    <x v="0"/>
    <d v="2024-12-08T00:00:00"/>
    <x v="1"/>
    <n v="15"/>
    <x v="0"/>
    <s v="Yes"/>
    <x v="0"/>
    <s v="Yes"/>
    <n v="20"/>
    <n v="20"/>
    <n v="45"/>
  </r>
  <r>
    <n v="3518"/>
    <s v="Xavier Reis"/>
    <x v="2"/>
    <d v="2024-12-09T00:00:00"/>
    <x v="0"/>
    <n v="10"/>
    <x v="2"/>
    <s v="No"/>
    <x v="1"/>
    <s v="Yes"/>
    <n v="20"/>
    <n v="12"/>
    <n v="18"/>
  </r>
  <r>
    <n v="3519"/>
    <s v="Yasmin Rocha"/>
    <x v="1"/>
    <d v="2024-12-10T00:00:00"/>
    <x v="1"/>
    <n v="5"/>
    <x v="0"/>
    <s v="No"/>
    <x v="1"/>
    <s v="No"/>
    <n v="0"/>
    <n v="2"/>
    <n v="3"/>
  </r>
  <r>
    <n v="3520"/>
    <s v="Zacarias Duarte"/>
    <x v="0"/>
    <d v="2024-12-11T00:00:00"/>
    <x v="0"/>
    <n v="15"/>
    <x v="1"/>
    <s v="Yes"/>
    <x v="0"/>
    <s v="Yes"/>
    <n v="20"/>
    <n v="5"/>
    <n v="60"/>
  </r>
  <r>
    <n v="3521"/>
    <s v="Amanda Freitas"/>
    <x v="2"/>
    <d v="2024-12-12T00:00:00"/>
    <x v="1"/>
    <n v="10"/>
    <x v="0"/>
    <s v="No"/>
    <x v="1"/>
    <s v="Yes"/>
    <n v="20"/>
    <n v="10"/>
    <n v="20"/>
  </r>
  <r>
    <n v="3522"/>
    <s v="Bruno Almeida"/>
    <x v="1"/>
    <d v="2024-12-13T00:00:00"/>
    <x v="0"/>
    <n v="5"/>
    <x v="2"/>
    <s v="No"/>
    <x v="1"/>
    <s v="No"/>
    <n v="0"/>
    <n v="0"/>
    <n v="5"/>
  </r>
  <r>
    <n v="3523"/>
    <s v="Carla Siqueira"/>
    <x v="0"/>
    <d v="2024-12-14T00:00:00"/>
    <x v="1"/>
    <n v="15"/>
    <x v="0"/>
    <s v="Yes"/>
    <x v="0"/>
    <s v="Yes"/>
    <n v="20"/>
    <n v="3"/>
    <n v="62"/>
  </r>
  <r>
    <n v="3524"/>
    <s v="Diogo Ramos"/>
    <x v="2"/>
    <d v="2024-12-15T00:00:00"/>
    <x v="0"/>
    <n v="10"/>
    <x v="1"/>
    <s v="No"/>
    <x v="1"/>
    <s v="Yes"/>
    <n v="20"/>
    <n v="15"/>
    <n v="15"/>
  </r>
  <r>
    <n v="3525"/>
    <s v="Elisa Magalhães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59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59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59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5CB372-EECF-4D11-9037-FB88F3D155AB}" name="Tabela dinâmica2" cacheId="59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30:B34" firstHeaderRow="1" firstDataRow="1" firstDataCol="1" rowPageCount="1" colPageCount="1"/>
  <pivotFields count="13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showAll="0">
      <items count="4">
        <item x="1"/>
        <item h="1" x="0"/>
        <item h="1" x="2"/>
        <item t="default"/>
      </items>
    </pivotField>
    <pivotField compact="0" outline="0" showAll="0"/>
    <pivotField dataField="1" compact="0" outline="0" showAll="0">
      <items count="3">
        <item x="0"/>
        <item x="1"/>
        <item t="default"/>
      </items>
    </pivotField>
    <pivotField compact="0" outline="0" showAll="0"/>
    <pivotField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Pric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11160-68A7-4F11-BDCD-699576DD3268}" name="Tabela Dinâmica1" cacheId="59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6:B9" firstHeaderRow="1" firstDataRow="1" firstDataCol="1" rowPageCount="1" colPageCount="1"/>
  <pivotFields count="13">
    <pivotField compact="0" outline="0" showAll="0"/>
    <pivotField compact="0" outline="0" showAll="0"/>
    <pivotField compact="0" outline="0" showAll="0">
      <items count="4">
        <item x="1"/>
        <item x="2"/>
        <item x="0"/>
        <item t="default"/>
      </items>
    </pivotField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1" xr10:uid="{2B626401-ACFD-4A82-8751-7DC637D34309}" sourceName="Subscription Type">
  <pivotTables>
    <pivotTable tabId="7" name="Tabela Dinâmica1"/>
    <pivotTable tabId="7" name="Tabela dinâmica2"/>
  </pivotTables>
  <data>
    <tabular pivotCacheId="1639958196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CFF51C2B-DABA-44EB-96DA-19D42DCFB1C7}" cache="SegmentaçãodeDados_Subscription_Type1" caption="Subscription Type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7">
  <autoFilter ref="A1:M296" xr:uid="{34E0E886-4200-4B36-97B3-63DB74FF40A0}"/>
  <tableColumns count="13">
    <tableColumn id="1" xr3:uid="{C4A90516-688A-46BF-9167-EA16C2A8A652}" name="Subscriber ID" dataDxfId="26"/>
    <tableColumn id="2" xr3:uid="{53DD39D0-2220-4121-9E9D-4EAA7E151C0F}" name="Name" dataDxfId="25"/>
    <tableColumn id="3" xr3:uid="{4F5FF271-4C57-4BE0-8F2C-F82C8551625C}" name="Plan" dataDxfId="24"/>
    <tableColumn id="4" xr3:uid="{8C17EB93-79B9-4E55-B8F7-BEB82F8253E9}" name="Start Date" dataDxfId="23"/>
    <tableColumn id="5" xr3:uid="{48CEDF9B-1689-482A-A828-5CCE7713264A}" name="Auto Renewal" dataDxfId="22"/>
    <tableColumn id="6" xr3:uid="{78B82374-9AA7-4E38-AE4F-78CDE6C83720}" name="Subscription Price" dataDxfId="21" dataCellStyle="Moeda"/>
    <tableColumn id="7" xr3:uid="{F2433F68-AF33-49D0-B1FB-19A396074EDE}" name="Subscription Type" dataDxfId="20"/>
    <tableColumn id="8" xr3:uid="{FD4D9C95-F6E5-4933-9068-A71FF7DF9343}" name="EA Play Season Pass" dataDxfId="19"/>
    <tableColumn id="13" xr3:uid="{978DD0D2-834E-4CE4-A39B-30976086932F}" name="EA Play Season Pass_x000a_Price" dataDxfId="18" dataCellStyle="Moeda"/>
    <tableColumn id="9" xr3:uid="{6E29F111-C395-4580-9DAD-3407D9E8B1A4}" name="Minecraft Season Pass" dataDxfId="17"/>
    <tableColumn id="10" xr3:uid="{EF544EAA-7F25-4FD5-A10E-8E62804DB9E3}" name="Minecraft Season Pass Price" dataDxfId="16" dataCellStyle="Moeda"/>
    <tableColumn id="11" xr3:uid="{7F6EB64A-1F07-4E48-9F0F-AC7D9DCD26F8}" name="Coupon Value" dataDxfId="15" dataCellStyle="Moeda"/>
    <tableColumn id="12" xr3:uid="{2B04ABC8-DE6F-426E-ADC0-D8AFC68CA58E}" name="Total Value" dataDxfId="14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B57430-E8C5-49C6-B195-8FB215029821}" name="Tabela13" displayName="Tabela13" ref="A1:M296" totalsRowShown="0" dataDxfId="13">
  <autoFilter ref="A1:M296" xr:uid="{78B57430-E8C5-49C6-B195-8FB215029821}"/>
  <tableColumns count="13">
    <tableColumn id="1" xr3:uid="{B790BD46-DAAC-4822-A4F5-DCE400BE9303}" name="Subscriber ID" dataDxfId="12"/>
    <tableColumn id="2" xr3:uid="{FDDD4389-BE8E-40AE-A50C-ED089B357590}" name="Name" dataDxfId="11"/>
    <tableColumn id="3" xr3:uid="{70ADEE64-9505-4801-9864-332BEDDE08DC}" name="Plan" dataDxfId="10"/>
    <tableColumn id="4" xr3:uid="{1BEC2EAE-C828-411B-893F-CF4AC28A8BC3}" name="Start Date" dataDxfId="9"/>
    <tableColumn id="5" xr3:uid="{D6D4B846-B383-4192-B97B-5F70B1F4B6C7}" name="Auto Renewal" dataDxfId="8"/>
    <tableColumn id="6" xr3:uid="{A50D9B23-E7AE-4741-860A-E48665E091FE}" name="Subscription Price" dataDxfId="7" dataCellStyle="Moeda"/>
    <tableColumn id="7" xr3:uid="{72FF21E2-6105-484C-BC8F-7157FD1112DF}" name="Subscription Type" dataDxfId="6"/>
    <tableColumn id="8" xr3:uid="{88AAC1CB-DAB3-4598-9E89-5F3C5EE8CC98}" name="EA Play Season Pass" dataDxfId="5"/>
    <tableColumn id="13" xr3:uid="{8E91B612-D31A-428D-B0CA-2BE175D9AAD9}" name="EA Play Season Pass_x000a_Price" dataDxfId="4" dataCellStyle="Moeda"/>
    <tableColumn id="9" xr3:uid="{E33B8C06-0D83-40D0-9653-6FB3B7E6888A}" name="Minecraft Season Pass" dataDxfId="3"/>
    <tableColumn id="10" xr3:uid="{2D5E3372-3D18-497B-9C96-FE740C8DDE43}" name="Minecraft Season Pass Price" dataDxfId="2" dataCellStyle="Moeda"/>
    <tableColumn id="11" xr3:uid="{4120D933-1349-4E89-AA7D-80204276FBD8}" name="Coupon Value" dataDxfId="1" dataCellStyle="Moeda"/>
    <tableColumn id="12" xr3:uid="{000F9E6E-496F-486A-89BC-7E7AD130B051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microsoft.com/office/2007/relationships/slicer" Target="../slicers/slicer1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/>
  <cols>
    <col min="2" max="2" width="18.5703125" bestFit="1" customWidth="1"/>
    <col min="3" max="3" width="33.8554687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>
      <c r="B3" s="21" t="s">
        <v>313</v>
      </c>
      <c r="C3" s="21"/>
      <c r="D3" s="21"/>
      <c r="E3" s="21"/>
      <c r="F3" s="21"/>
    </row>
    <row r="6" spans="2:6">
      <c r="B6" t="s">
        <v>314</v>
      </c>
    </row>
    <row r="7" spans="2:6">
      <c r="B7" t="s">
        <v>315</v>
      </c>
    </row>
    <row r="9" spans="2:6">
      <c r="B9" s="12" t="s">
        <v>17</v>
      </c>
      <c r="C9" t="s">
        <v>31</v>
      </c>
    </row>
    <row r="11" spans="2:6">
      <c r="B11" s="12" t="s">
        <v>316</v>
      </c>
      <c r="C11" t="s">
        <v>317</v>
      </c>
    </row>
    <row r="12" spans="2:6">
      <c r="B12" s="20" t="s">
        <v>30</v>
      </c>
      <c r="C12" s="13">
        <v>217</v>
      </c>
    </row>
    <row r="13" spans="2:6">
      <c r="B13" s="20" t="s">
        <v>26</v>
      </c>
      <c r="C13" s="13">
        <v>1537</v>
      </c>
    </row>
    <row r="14" spans="2:6">
      <c r="B14" s="20" t="s">
        <v>318</v>
      </c>
      <c r="C14" s="13">
        <v>1754</v>
      </c>
    </row>
    <row r="17" spans="2:5">
      <c r="B17" s="20" t="s">
        <v>319</v>
      </c>
    </row>
    <row r="19" spans="2:5">
      <c r="B19" s="12" t="s">
        <v>17</v>
      </c>
      <c r="C19" t="s">
        <v>31</v>
      </c>
    </row>
    <row r="21" spans="2:5">
      <c r="B21" s="12" t="s">
        <v>316</v>
      </c>
      <c r="C21" t="s">
        <v>320</v>
      </c>
    </row>
    <row r="22" spans="2:5">
      <c r="B22" s="20" t="s">
        <v>29</v>
      </c>
      <c r="C22" s="14">
        <v>0</v>
      </c>
    </row>
    <row r="23" spans="2:5">
      <c r="B23" s="20" t="s">
        <v>34</v>
      </c>
      <c r="C23" s="14">
        <v>0</v>
      </c>
    </row>
    <row r="24" spans="2:5">
      <c r="B24" s="20" t="s">
        <v>25</v>
      </c>
      <c r="C24" s="14">
        <v>600</v>
      </c>
    </row>
    <row r="25" spans="2:5">
      <c r="B25" s="20" t="s">
        <v>318</v>
      </c>
      <c r="C25" s="14">
        <v>600</v>
      </c>
      <c r="E25" s="16">
        <f>GETPIVOTDATA("EA Play Season Pass
Price",$B$21)</f>
        <v>600</v>
      </c>
    </row>
    <row r="28" spans="2:5">
      <c r="B28" s="20" t="s">
        <v>321</v>
      </c>
    </row>
    <row r="30" spans="2:5">
      <c r="B30" s="12" t="s">
        <v>17</v>
      </c>
      <c r="C30" t="s">
        <v>31</v>
      </c>
    </row>
    <row r="32" spans="2:5">
      <c r="B32" s="12" t="s">
        <v>316</v>
      </c>
      <c r="C32" t="s">
        <v>322</v>
      </c>
    </row>
    <row r="33" spans="2:5">
      <c r="B33" s="20" t="s">
        <v>29</v>
      </c>
      <c r="C33" s="13">
        <v>0</v>
      </c>
    </row>
    <row r="34" spans="2:5">
      <c r="B34" s="20" t="s">
        <v>34</v>
      </c>
      <c r="C34" s="13">
        <v>540</v>
      </c>
    </row>
    <row r="35" spans="2:5">
      <c r="B35" s="20" t="s">
        <v>25</v>
      </c>
      <c r="C35" s="13">
        <v>400</v>
      </c>
    </row>
    <row r="36" spans="2:5">
      <c r="B36" s="20" t="s">
        <v>318</v>
      </c>
      <c r="C36" s="13">
        <v>940</v>
      </c>
      <c r="E36" s="16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0E964-8645-47B8-AC1D-31C647E6E988}">
  <dimension ref="A1:M296"/>
  <sheetViews>
    <sheetView tabSelected="1" workbookViewId="0">
      <selection activeCell="O3" sqref="O3"/>
    </sheetView>
  </sheetViews>
  <sheetFormatPr defaultRowHeight="15"/>
  <cols>
    <col min="1" max="1" width="18.42578125" customWidth="1"/>
    <col min="2" max="2" width="16" customWidth="1"/>
    <col min="3" max="3" width="20.42578125" customWidth="1"/>
    <col min="4" max="4" width="15.85546875" customWidth="1"/>
    <col min="5" max="5" width="19.7109375" customWidth="1"/>
    <col min="6" max="6" width="21.42578125" customWidth="1"/>
    <col min="7" max="7" width="20.85546875" customWidth="1"/>
    <col min="8" max="8" width="22.5703125" customWidth="1"/>
    <col min="9" max="9" width="23.5703125" customWidth="1"/>
    <col min="10" max="10" width="19.85546875" customWidth="1"/>
    <col min="11" max="11" width="29" customWidth="1"/>
    <col min="12" max="13" width="18.140625" customWidth="1"/>
  </cols>
  <sheetData>
    <row r="1" spans="1:13" ht="57.7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29.25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43.5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29.25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43.5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29.25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29.25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29.25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29.25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29.25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29.25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29.25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29.25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29.25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29.25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29.25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29.25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29.25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29.25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29.25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29.25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29.25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29.25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29.25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29.25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29.25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29.25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43.5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29.25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29.25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29.25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29.25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29.25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29.25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29.25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43.5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29.25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29.25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29.25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29.25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29.25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29.25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29.25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29.25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29.25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29.25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29.25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29.25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29.25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29.25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43.5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29.25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29.25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29.25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29.25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29.25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29.25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43.5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29.25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29.25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29.25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29.25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43.5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29.25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29.25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29.25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29.25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29.25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29.25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29.25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29.25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29.25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29.25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29.25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29.25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29.25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29.25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29.25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29.25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43.5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29.25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29.25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29.25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43.5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29.25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29.25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29.25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29.25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29.25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29.25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29.25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29.25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29.25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29.25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43.5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29.25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29.25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29.25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29.25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29.25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29.25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29.25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29.25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29.25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29.25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29.25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29.25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43.5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29.25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29.25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29.25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29.25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29.25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29.25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29.25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29.25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29.25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29.25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29.25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29.25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29.25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29.25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29.25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29.25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29.25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29.25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29.25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43.5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29.25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29.25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29.25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29.25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29.25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29.25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29.25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29.25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29.25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29.25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29.25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29.25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29.25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29.25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29.25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29.25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43.5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29.25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29.25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29.25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29.25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29.25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29.25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29.25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29.25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29.25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29.25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29.25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29.25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29.25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29.25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29.25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29.25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29.25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29.25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29.25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29.25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29.25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29.25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29.25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29.25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29.25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29.25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29.25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43.5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29.25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29.25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29.25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29.25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43.5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29.25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29.25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29.25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29.25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29.25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29.25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29.25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29.25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29.25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29.25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29.25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29.25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29.25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29.25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29.25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29.25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29.25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29.25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29.25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29.25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29.25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29.25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29.25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29.25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29.25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43.5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29.25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29.25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29.25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29.25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29.25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29.25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29.25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29.25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29.25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29.25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29.25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29.25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29.25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29.25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29.25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29.25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29.25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29.25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29.25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29.25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29.25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29.25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29.25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29.25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29.25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29.25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29.25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29.25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29.25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29.25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29.25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43.5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29.25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29.25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29.25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29.25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29.25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29.25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29.25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29.25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29.25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29.25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29.25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29.25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29.25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29.25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29.25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29.25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29.25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29.25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29.25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29.25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29.25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43.5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29.25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29.25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29.25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29.25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29.25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43.5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29.25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29.25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29.25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29.25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43.5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29.25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43.5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29.25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43.5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29.25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29.25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29.25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29.25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29.25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29.25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29.25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29.25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29.25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29.25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29.25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29.25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29.25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29.25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29.25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29.25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29.25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29.25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43.5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FA9E2-AB89-436F-8587-B0E049CCE07D}">
  <dimension ref="A1:E34"/>
  <sheetViews>
    <sheetView workbookViewId="0">
      <selection activeCell="E27" sqref="E27"/>
    </sheetView>
  </sheetViews>
  <sheetFormatPr defaultRowHeight="15"/>
  <cols>
    <col min="1" max="1" width="36.5703125" bestFit="1" customWidth="1"/>
    <col min="2" max="3" width="31.42578125" bestFit="1" customWidth="1"/>
    <col min="4" max="4" width="36.5703125" bestFit="1" customWidth="1"/>
  </cols>
  <sheetData>
    <row r="1" spans="1:5" ht="21.75" customHeight="1">
      <c r="A1" s="22" t="s">
        <v>323</v>
      </c>
      <c r="B1" s="22"/>
      <c r="C1" s="22"/>
      <c r="D1" s="22"/>
    </row>
    <row r="2" spans="1:5">
      <c r="A2" s="22" t="s">
        <v>324</v>
      </c>
      <c r="B2" s="22"/>
      <c r="C2" s="22"/>
      <c r="D2" s="22"/>
      <c r="E2" s="22"/>
    </row>
    <row r="4" spans="1:5">
      <c r="A4" s="12" t="s">
        <v>17</v>
      </c>
      <c r="B4" t="s">
        <v>31</v>
      </c>
    </row>
    <row r="6" spans="1:5">
      <c r="A6" s="12" t="s">
        <v>15</v>
      </c>
      <c r="B6" t="s">
        <v>317</v>
      </c>
    </row>
    <row r="7" spans="1:5">
      <c r="A7" t="s">
        <v>30</v>
      </c>
      <c r="B7" s="13">
        <v>217</v>
      </c>
    </row>
    <row r="8" spans="1:5">
      <c r="A8" t="s">
        <v>26</v>
      </c>
      <c r="B8" s="13">
        <v>1537</v>
      </c>
    </row>
    <row r="9" spans="1:5">
      <c r="A9" t="s">
        <v>318</v>
      </c>
      <c r="B9" s="13">
        <v>1754</v>
      </c>
    </row>
    <row r="23" spans="1:4">
      <c r="A23" s="23" t="s">
        <v>325</v>
      </c>
      <c r="B23" s="23"/>
      <c r="C23" s="23"/>
    </row>
    <row r="28" spans="1:4">
      <c r="A28" s="12" t="s">
        <v>17</v>
      </c>
      <c r="B28" t="s">
        <v>31</v>
      </c>
    </row>
    <row r="30" spans="1:4">
      <c r="A30" s="12" t="s">
        <v>13</v>
      </c>
      <c r="B30" t="s">
        <v>326</v>
      </c>
    </row>
    <row r="31" spans="1:4">
      <c r="A31" t="s">
        <v>29</v>
      </c>
      <c r="B31" s="14">
        <v>0</v>
      </c>
    </row>
    <row r="32" spans="1:4">
      <c r="A32" t="s">
        <v>34</v>
      </c>
      <c r="B32" s="14">
        <v>0</v>
      </c>
      <c r="D32" s="19"/>
    </row>
    <row r="33" spans="1:2">
      <c r="A33" t="s">
        <v>25</v>
      </c>
      <c r="B33" s="14">
        <v>600</v>
      </c>
    </row>
    <row r="34" spans="1:2">
      <c r="A34" t="s">
        <v>318</v>
      </c>
      <c r="B34" s="14">
        <v>600</v>
      </c>
    </row>
  </sheetData>
  <mergeCells count="3">
    <mergeCell ref="A1:D1"/>
    <mergeCell ref="A2:E2"/>
    <mergeCell ref="A23:C23"/>
  </mergeCells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zoomScaleNormal="100" workbookViewId="0"/>
  </sheetViews>
  <sheetFormatPr defaultRowHeight="1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>
      <c r="C2" s="18" t="s">
        <v>327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6109AA-4A63-4ABA-9238-1315B3F7EEAB}"/>
</file>

<file path=customXml/itemProps2.xml><?xml version="1.0" encoding="utf-8"?>
<ds:datastoreItem xmlns:ds="http://schemas.openxmlformats.org/officeDocument/2006/customXml" ds:itemID="{499037E4-A6E4-45D3-B93A-3D2B6A0C2B33}"/>
</file>

<file path=customXml/itemProps3.xml><?xml version="1.0" encoding="utf-8"?>
<ds:datastoreItem xmlns:ds="http://schemas.openxmlformats.org/officeDocument/2006/customXml" ds:itemID="{A6A6278B-0476-46CE-815A-3F41F43711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2026-03-11T01:29:12Z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